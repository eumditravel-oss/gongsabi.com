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4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22" i="4" l="1"/>
  <c r="D130" i="4"/>
  <c r="D125" i="4"/>
  <c r="D126" i="4"/>
  <c r="D132" i="4"/>
  <c r="D118" i="4"/>
  <c r="D116" i="4"/>
  <c r="D100" i="4"/>
  <c r="D102" i="4"/>
  <c r="D99" i="4"/>
  <c r="D108" i="4"/>
  <c r="D98" i="4"/>
  <c r="D104" i="4"/>
  <c r="D105" i="4"/>
  <c r="D94" i="4"/>
  <c r="D69" i="4"/>
  <c r="D81" i="4"/>
  <c r="D92" i="4"/>
  <c r="D70" i="4"/>
  <c r="D89" i="4"/>
  <c r="D90" i="4"/>
  <c r="D82" i="4"/>
  <c r="D71" i="4"/>
  <c r="D73" i="4"/>
  <c r="D72" i="4"/>
  <c r="D58" i="4"/>
  <c r="D55" i="4"/>
  <c r="D53" i="4"/>
  <c r="D52" i="4"/>
  <c r="D50" i="4"/>
  <c r="D49" i="4"/>
  <c r="D48" i="4"/>
  <c r="D47" i="4"/>
  <c r="D46" i="4"/>
  <c r="D45" i="4"/>
  <c r="D44" i="4"/>
  <c r="D43" i="4"/>
  <c r="D42" i="4"/>
  <c r="D41" i="4"/>
  <c r="D40" i="4"/>
  <c r="D159" i="4"/>
  <c r="D152" i="4"/>
  <c r="D137" i="4"/>
  <c r="D136" i="4"/>
  <c r="E160" i="4" l="1"/>
  <c r="E159" i="4"/>
  <c r="E158" i="4"/>
  <c r="E157" i="4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66" i="4" l="1"/>
  <c r="E161" i="4"/>
  <c r="E146" i="4"/>
  <c r="E133" i="4"/>
  <c r="E119" i="4"/>
  <c r="E95" i="4"/>
  <c r="E60" i="4"/>
  <c r="E154" i="4"/>
  <c r="D161" i="4"/>
  <c r="D32" i="4" s="1"/>
  <c r="E32" i="4" s="1"/>
  <c r="D154" i="4"/>
  <c r="D146" i="4"/>
  <c r="D30" i="4" s="1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E25" i="4" s="1"/>
  <c r="D24" i="4"/>
  <c r="E24" i="4" s="1"/>
  <c r="D31" i="4"/>
  <c r="E31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30" i="4" l="1"/>
  <c r="D33" i="4"/>
  <c r="E33" i="4" s="1"/>
  <c r="D34" i="4" l="1"/>
  <c r="E34" i="4"/>
</calcChain>
</file>

<file path=xl/sharedStrings.xml><?xml version="1.0" encoding="utf-8"?>
<sst xmlns="http://schemas.openxmlformats.org/spreadsheetml/2006/main" count="391" uniqueCount="266">
  <si>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</si>
  <si>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</si>
  <si>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</si>
  <si>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</si>
  <si>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</si>
  <si>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</si>
  <si>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</si>
  <si>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</si>
  <si>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</si>
  <si>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</si>
  <si>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</si>
  <si>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</si>
  <si>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</si>
  <si>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</si>
  <si>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</si>
  <si>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</si>
  <si>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</si>
  <si>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</si>
  <si>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</si>
  <si>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</si>
  <si>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</si>
  <si>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</si>
  <si>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</si>
  <si>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</si>
  <si>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</si>
  <si>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</si>
  <si>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</si>
  <si>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</si>
  <si>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</si>
  <si>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</si>
  <si>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</si>
  <si>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</si>
  <si>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</si>
  <si>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</si>
  <si>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</si>
  <si>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</si>
  <si>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</si>
  <si>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</si>
  <si>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</si>
  <si>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</si>
  <si>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</si>
  <si>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</si>
  <si>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</si>
  <si>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</si>
  <si>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</si>
  <si>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</si>
  <si>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</si>
  <si>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</si>
  <si>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</si>
  <si>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</si>
  <si>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</si>
  <si>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</si>
  <si>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</si>
  <si>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</si>
  <si>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</si>
  <si>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</si>
  <si>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</si>
  <si>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</si>
  <si>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</si>
  <si>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</si>
  <si>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</si>
  <si>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</si>
  <si>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</si>
  <si>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</si>
  <si>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</si>
  <si>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</si>
  <si>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</si>
  <si>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</si>
  <si>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</si>
  <si>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</si>
  <si>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</si>
  <si>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</si>
  <si>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</si>
  <si>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</si>
  <si>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</si>
  <si>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</si>
  <si>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</si>
  <si>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</si>
  <si>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</si>
  <si>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</si>
  <si>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</si>
  <si>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</si>
  <si>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</si>
  <si>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</si>
  <si>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</si>
  <si>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</si>
  <si>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</si>
  <si>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</si>
  <si>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</si>
  <si>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</si>
  <si>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</si>
  <si>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</si>
  <si>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</si>
  <si>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</si>
  <si>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</si>
  <si>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</si>
  <si>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</si>
  <si>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</si>
  <si>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</si>
  <si>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</si>
  <si>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</si>
  <si>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</si>
  <si>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</si>
  <si>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</si>
  <si>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</si>
  <si>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</si>
  <si>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</si>
  <si>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</si>
  <si>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</si>
  <si>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</si>
  <si>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</si>
  <si>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</si>
  <si>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</si>
  <si>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</si>
  <si>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</si>
  <si>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</si>
  <si>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</si>
  <si>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</si>
  <si>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</si>
  <si>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</si>
  <si>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</si>
  <si>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</si>
  <si>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</si>
  <si>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</si>
  <si>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</si>
  <si>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</si>
  <si>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</si>
  <si>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</si>
  <si>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</si>
  <si>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</si>
  <si>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</si>
  <si>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</si>
  <si>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</si>
  <si>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</si>
  <si>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</si>
  <si>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</si>
  <si>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</si>
  <si>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</si>
  <si>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</si>
  <si>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</si>
  <si>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</si>
  <si>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</si>
  <si>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</si>
  <si>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</si>
  <si>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</si>
  <si>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</si>
  <si>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</si>
  <si>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</si>
  <si>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</si>
  <si>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</si>
  <si>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</si>
  <si>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</si>
  <si>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</si>
  <si>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</si>
  <si>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</si>
  <si>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</si>
  <si>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</si>
  <si>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</si>
  <si>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</si>
  <si>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</si>
  <si>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</si>
  <si>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</si>
  <si>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</si>
  <si>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</si>
  <si>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</si>
  <si>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</si>
  <si>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</si>
  <si>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</si>
  <si>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</si>
  <si>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</si>
  <si>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</si>
  <si>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</si>
  <si>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</si>
  <si>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</si>
  <si>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</si>
  <si>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</si>
  <si>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</si>
  <si>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</si>
  <si>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</si>
  <si>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</si>
  <si>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</si>
  <si>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</si>
  <si>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</si>
  <si>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</si>
  <si>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</si>
  <si>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</si>
  <si>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</si>
  <si>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</si>
  <si>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</si>
  <si>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</si>
  <si>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</si>
  <si>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</si>
  <si>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</si>
  <si>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</si>
  <si>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</si>
  <si>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</si>
  <si>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</si>
  <si>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</si>
  <si>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</si>
  <si>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</si>
  <si>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</si>
  <si>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</si>
  <si>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</si>
  <si>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</si>
  <si>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</si>
  <si>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</si>
  <si>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</si>
  <si>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</si>
  <si>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</si>
  <si>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</si>
  <si>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</si>
  <si>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</si>
  <si>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</si>
  <si>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</si>
  <si>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</si>
  <si>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</si>
  <si>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</si>
  <si>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</si>
  <si>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</si>
  <si>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</si>
  <si>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</si>
  <si>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</si>
  <si>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</si>
  <si>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</si>
  <si>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</si>
  <si>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</si>
  <si>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</si>
  <si>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</si>
  <si>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</si>
  <si>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</si>
  <si>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</si>
  <si>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</si>
  <si>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</si>
  <si>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</si>
  <si>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</si>
  <si>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</si>
  <si>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</si>
  <si>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</si>
  <si>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</si>
  <si>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</si>
  <si>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</si>
  <si>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</si>
  <si>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</si>
  <si>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</si>
  <si>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</si>
  <si>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</si>
  <si>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</si>
  <si>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</si>
  <si>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0000초등학교 신축공사</t>
    <phoneticPr fontId="2" type="noConversion"/>
  </si>
  <si>
    <t>교육연구</t>
  </si>
  <si>
    <t>전라도</t>
  </si>
  <si>
    <t>창호및유리공사</t>
    <phoneticPr fontId="2" type="noConversion"/>
  </si>
  <si>
    <t>토및지정공사,품질관리비,기타공사,골재비,부대공사,운반비</t>
    <phoneticPr fontId="2" type="noConversion"/>
  </si>
  <si>
    <t>배기덕트및배관공사</t>
    <phoneticPr fontId="2" type="noConversion"/>
  </si>
  <si>
    <t>공동구배관공사,난방배관공사,배기배관공사,지열배관공사,태양열배관공사</t>
    <phoneticPr fontId="2" type="noConversion"/>
  </si>
  <si>
    <t>특고인입공사</t>
    <phoneticPr fontId="2" type="noConversion"/>
  </si>
  <si>
    <t>분전반설치공사,자동승강조명공사,환기전원공사,선풍기전원설비공사</t>
    <phoneticPr fontId="2" type="noConversion"/>
  </si>
  <si>
    <t>옥외전력간선공사,전력간선공사</t>
    <phoneticPr fontId="2" type="noConversion"/>
  </si>
  <si>
    <t>환기동력설비공사,동력설비공사</t>
    <phoneticPr fontId="2" type="noConversion"/>
  </si>
  <si>
    <t>옥외관로인입공사,CCTV공사,전산실통신공사</t>
    <phoneticPr fontId="2" type="noConversion"/>
  </si>
  <si>
    <t>옥외방송공사,방송설비공사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</si>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</sst>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2" t="s">
        <v>156</v>
      </c>
      <c r="B2" s="75" t="s">
        <v>0</v>
      </c>
      <c r="C2" s="76"/>
      <c r="D2" s="75" t="s">
        <v>1</v>
      </c>
      <c r="E2" s="76"/>
      <c r="F2" s="75" t="s">
        <v>157</v>
      </c>
      <c r="G2" s="76"/>
      <c r="H2" s="75" t="s">
        <v>2</v>
      </c>
      <c r="I2" s="76"/>
      <c r="J2" s="75" t="s">
        <v>3</v>
      </c>
      <c r="K2" s="76"/>
      <c r="L2" s="75" t="s">
        <v>158</v>
      </c>
      <c r="M2" s="76"/>
      <c r="N2" s="75" t="s">
        <v>159</v>
      </c>
      <c r="O2" s="76"/>
      <c r="P2" s="75" t="s">
        <v>5</v>
      </c>
      <c r="Q2" s="76"/>
      <c r="R2" s="69" t="s">
        <v>94</v>
      </c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1"/>
    </row>
    <row r="3" spans="1:33" x14ac:dyDescent="0.3">
      <c r="A3" s="73"/>
      <c r="B3" s="77"/>
      <c r="C3" s="78"/>
      <c r="D3" s="77"/>
      <c r="E3" s="78"/>
      <c r="F3" s="77"/>
      <c r="G3" s="78"/>
      <c r="H3" s="77"/>
      <c r="I3" s="78"/>
      <c r="J3" s="77"/>
      <c r="K3" s="78"/>
      <c r="L3" s="77"/>
      <c r="M3" s="78"/>
      <c r="N3" s="77"/>
      <c r="O3" s="78"/>
      <c r="P3" s="77"/>
      <c r="Q3" s="78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4"/>
      <c r="B4" s="79"/>
      <c r="C4" s="80"/>
      <c r="D4" s="79"/>
      <c r="E4" s="80"/>
      <c r="F4" s="79"/>
      <c r="G4" s="80"/>
      <c r="H4" s="79"/>
      <c r="I4" s="80"/>
      <c r="J4" s="79"/>
      <c r="K4" s="80"/>
      <c r="L4" s="79"/>
      <c r="M4" s="80"/>
      <c r="N4" s="79"/>
      <c r="O4" s="80"/>
      <c r="P4" s="79"/>
      <c r="Q4" s="80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263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248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249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12178</v>
      </c>
      <c r="D7" s="36">
        <f>+C7/3.3058</f>
        <v>3683.8284227720974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250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201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264</v>
      </c>
    </row>
    <row r="19" spans="1:5" x14ac:dyDescent="0.3">
      <c r="A19" s="2">
        <v>9</v>
      </c>
      <c r="B19" s="2" t="s">
        <v>265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559670</v>
      </c>
      <c r="E25" s="59">
        <f t="shared" si="0"/>
        <v>1850150</v>
      </c>
    </row>
    <row r="26" spans="1:5" x14ac:dyDescent="0.3">
      <c r="B26" s="2">
        <v>3</v>
      </c>
      <c r="C26" s="35" t="s">
        <v>95</v>
      </c>
      <c r="D26" s="45">
        <f>+D66</f>
        <v>0</v>
      </c>
      <c r="E26" s="59">
        <f t="shared" si="0"/>
        <v>0</v>
      </c>
    </row>
    <row r="27" spans="1:5" x14ac:dyDescent="0.3">
      <c r="B27" s="2">
        <v>4</v>
      </c>
      <c r="C27" s="35" t="s">
        <v>96</v>
      </c>
      <c r="D27" s="45">
        <f>+D95</f>
        <v>118200</v>
      </c>
      <c r="E27" s="59">
        <f t="shared" si="0"/>
        <v>390740</v>
      </c>
    </row>
    <row r="28" spans="1:5" x14ac:dyDescent="0.3">
      <c r="B28" s="2">
        <v>5</v>
      </c>
      <c r="C28" s="35" t="s">
        <v>97</v>
      </c>
      <c r="D28" s="45">
        <f>+D119</f>
        <v>50760</v>
      </c>
      <c r="E28" s="59">
        <f t="shared" si="0"/>
        <v>167800</v>
      </c>
    </row>
    <row r="29" spans="1:5" x14ac:dyDescent="0.3">
      <c r="B29" s="2">
        <v>6</v>
      </c>
      <c r="C29" s="35" t="s">
        <v>98</v>
      </c>
      <c r="D29" s="45">
        <f>+D133</f>
        <v>18010</v>
      </c>
      <c r="E29" s="59">
        <f t="shared" si="0"/>
        <v>59530</v>
      </c>
    </row>
    <row r="30" spans="1:5" x14ac:dyDescent="0.3">
      <c r="B30" s="2">
        <v>7</v>
      </c>
      <c r="C30" s="35" t="s">
        <v>99</v>
      </c>
      <c r="D30" s="45">
        <f>+D146</f>
        <v>21830</v>
      </c>
      <c r="E30" s="59">
        <f t="shared" si="0"/>
        <v>72160</v>
      </c>
    </row>
    <row r="31" spans="1:5" x14ac:dyDescent="0.3">
      <c r="B31" s="2">
        <v>8</v>
      </c>
      <c r="C31" s="35" t="s">
        <v>100</v>
      </c>
      <c r="D31" s="45">
        <f>+D154</f>
        <v>40240</v>
      </c>
      <c r="E31" s="59">
        <f t="shared" si="0"/>
        <v>133020</v>
      </c>
    </row>
    <row r="32" spans="1:5" x14ac:dyDescent="0.3">
      <c r="B32" s="2">
        <v>9</v>
      </c>
      <c r="C32" s="35" t="s">
        <v>101</v>
      </c>
      <c r="D32" s="45">
        <f>+D161</f>
        <v>22840</v>
      </c>
      <c r="E32" s="59">
        <f t="shared" si="0"/>
        <v>75500</v>
      </c>
    </row>
    <row r="33" spans="1:7" x14ac:dyDescent="0.3">
      <c r="B33" s="2">
        <v>10</v>
      </c>
      <c r="C33" s="35" t="s">
        <v>154</v>
      </c>
      <c r="D33" s="53">
        <f>TRUNC(SUM(D24:D32)*0.275,-1)</f>
        <v>228670</v>
      </c>
      <c r="E33" s="60">
        <f t="shared" si="0"/>
        <v>755930</v>
      </c>
    </row>
    <row r="34" spans="1:7" x14ac:dyDescent="0.3">
      <c r="C34" s="35" t="s">
        <v>112</v>
      </c>
      <c r="D34" s="44">
        <f>SUM(D24:D33)</f>
        <v>1060220</v>
      </c>
      <c r="E34" s="44">
        <f>SUM(E24:E33)</f>
        <v>3504830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238</v>
      </c>
      <c r="D36" s="57" t="s">
        <v>235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66" customFormat="1" x14ac:dyDescent="0.3">
      <c r="C38" s="67"/>
      <c r="D38" s="67"/>
      <c r="E38" s="67"/>
      <c r="G38" s="68"/>
    </row>
    <row r="39" spans="1:7" s="66" customFormat="1" ht="17.25" thickBot="1" x14ac:dyDescent="0.35">
      <c r="B39" s="66" t="s">
        <v>111</v>
      </c>
      <c r="C39" s="66" t="s">
        <v>242</v>
      </c>
      <c r="D39" s="67" t="s">
        <v>261</v>
      </c>
      <c r="E39" s="67" t="s">
        <v>262</v>
      </c>
      <c r="G39" s="68"/>
    </row>
    <row r="40" spans="1:7" x14ac:dyDescent="0.3">
      <c r="A40" s="2">
        <v>1</v>
      </c>
      <c r="C40" s="38" t="s">
        <v>15</v>
      </c>
      <c r="D40" s="40">
        <f>TRUNC(20747,-1)</f>
        <v>20740</v>
      </c>
      <c r="E40" s="62">
        <f t="shared" ref="E40:E59" si="1">TRUNC(+D40*3.3058,-1)</f>
        <v>68560</v>
      </c>
    </row>
    <row r="41" spans="1:7" x14ac:dyDescent="0.3">
      <c r="A41" s="2">
        <v>2</v>
      </c>
      <c r="C41" s="38" t="s">
        <v>13</v>
      </c>
      <c r="D41" s="42">
        <f>TRUNC(97127,-1)</f>
        <v>97120</v>
      </c>
      <c r="E41" s="63">
        <f t="shared" si="1"/>
        <v>321050</v>
      </c>
    </row>
    <row r="42" spans="1:7" x14ac:dyDescent="0.3">
      <c r="A42" s="2">
        <v>3</v>
      </c>
      <c r="C42" s="38" t="s">
        <v>14</v>
      </c>
      <c r="D42" s="42">
        <f>TRUNC(14246,-1)</f>
        <v>14240</v>
      </c>
      <c r="E42" s="63">
        <f t="shared" si="1"/>
        <v>47070</v>
      </c>
    </row>
    <row r="43" spans="1:7" x14ac:dyDescent="0.3">
      <c r="A43" s="2">
        <v>4</v>
      </c>
      <c r="C43" s="38" t="s">
        <v>16</v>
      </c>
      <c r="D43" s="42">
        <f>TRUNC(29861,-1)</f>
        <v>29860</v>
      </c>
      <c r="E43" s="63">
        <f t="shared" si="1"/>
        <v>98710</v>
      </c>
    </row>
    <row r="44" spans="1:7" x14ac:dyDescent="0.3">
      <c r="A44" s="2">
        <v>5</v>
      </c>
      <c r="C44" s="38" t="s">
        <v>17</v>
      </c>
      <c r="D44" s="42">
        <f>TRUNC(49,-1)</f>
        <v>40</v>
      </c>
      <c r="E44" s="63">
        <f t="shared" si="1"/>
        <v>130</v>
      </c>
    </row>
    <row r="45" spans="1:7" x14ac:dyDescent="0.3">
      <c r="A45" s="2">
        <v>6</v>
      </c>
      <c r="C45" s="38" t="s">
        <v>18</v>
      </c>
      <c r="D45" s="42">
        <f>TRUNC(33168,-1)</f>
        <v>33160</v>
      </c>
      <c r="E45" s="63">
        <f t="shared" si="1"/>
        <v>109620</v>
      </c>
    </row>
    <row r="46" spans="1:7" x14ac:dyDescent="0.3">
      <c r="A46" s="2">
        <v>7</v>
      </c>
      <c r="C46" s="38" t="s">
        <v>19</v>
      </c>
      <c r="D46" s="42">
        <f>TRUNC(21188,-1)</f>
        <v>21180</v>
      </c>
      <c r="E46" s="63">
        <f t="shared" si="1"/>
        <v>70010</v>
      </c>
    </row>
    <row r="47" spans="1:7" x14ac:dyDescent="0.3">
      <c r="A47" s="2">
        <v>8</v>
      </c>
      <c r="C47" s="38" t="s">
        <v>20</v>
      </c>
      <c r="D47" s="42">
        <f>TRUNC(22646,-1)</f>
        <v>22640</v>
      </c>
      <c r="E47" s="63">
        <f t="shared" si="1"/>
        <v>74840</v>
      </c>
    </row>
    <row r="48" spans="1:7" x14ac:dyDescent="0.3">
      <c r="A48" s="2">
        <v>9</v>
      </c>
      <c r="C48" s="38" t="s">
        <v>21</v>
      </c>
      <c r="D48" s="42">
        <f>TRUNC(85390,-1)</f>
        <v>85390</v>
      </c>
      <c r="E48" s="63">
        <f t="shared" si="1"/>
        <v>282280</v>
      </c>
    </row>
    <row r="49" spans="1:7" x14ac:dyDescent="0.3">
      <c r="A49" s="2">
        <v>10</v>
      </c>
      <c r="C49" s="38" t="s">
        <v>22</v>
      </c>
      <c r="D49" s="42">
        <f>TRUNC(13901,-1)</f>
        <v>13900</v>
      </c>
      <c r="E49" s="63">
        <f t="shared" si="1"/>
        <v>45950</v>
      </c>
    </row>
    <row r="50" spans="1:7" x14ac:dyDescent="0.3">
      <c r="A50" s="2">
        <v>11</v>
      </c>
      <c r="C50" s="38" t="s">
        <v>155</v>
      </c>
      <c r="D50" s="42">
        <f>TRUNC(59767,-1)</f>
        <v>59760</v>
      </c>
      <c r="E50" s="63">
        <f t="shared" si="1"/>
        <v>197550</v>
      </c>
      <c r="F50" s="2" t="s">
        <v>251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TRUNC(16686,-1)</f>
        <v>16680</v>
      </c>
      <c r="E52" s="63">
        <f t="shared" si="1"/>
        <v>55140</v>
      </c>
    </row>
    <row r="53" spans="1:7" x14ac:dyDescent="0.3">
      <c r="A53" s="2">
        <v>14</v>
      </c>
      <c r="C53" s="38" t="s">
        <v>25</v>
      </c>
      <c r="D53" s="42">
        <f>TRUNC(18294,-1)</f>
        <v>18290</v>
      </c>
      <c r="E53" s="63">
        <f t="shared" si="1"/>
        <v>60460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f>TRUNC(14310,-1)</f>
        <v>14310</v>
      </c>
      <c r="E55" s="63">
        <f t="shared" si="1"/>
        <v>47300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TRUNC(75973+246+1207+1337+31315+2287,-1)</f>
        <v>112360</v>
      </c>
      <c r="E58" s="63">
        <f t="shared" si="1"/>
        <v>371430</v>
      </c>
      <c r="F58" s="2" t="s">
        <v>252</v>
      </c>
    </row>
    <row r="59" spans="1:7" ht="17.25" thickBot="1" x14ac:dyDescent="0.35">
      <c r="A59" s="2">
        <v>20</v>
      </c>
      <c r="C59" s="38" t="s">
        <v>148</v>
      </c>
      <c r="D59" s="43">
        <v>0</v>
      </c>
      <c r="E59" s="64">
        <f t="shared" si="1"/>
        <v>0</v>
      </c>
    </row>
    <row r="60" spans="1:7" x14ac:dyDescent="0.3">
      <c r="A60" s="2">
        <v>21</v>
      </c>
      <c r="C60" s="27" t="s">
        <v>112</v>
      </c>
      <c r="D60" s="39">
        <f>SUM(D40:D59)</f>
        <v>559670</v>
      </c>
      <c r="E60" s="39">
        <f>SUM(E40:E59)</f>
        <v>1850100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239</v>
      </c>
      <c r="C62" s="56" t="s">
        <v>240</v>
      </c>
      <c r="D62" s="57" t="s">
        <v>237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v>0</v>
      </c>
      <c r="E63" s="62">
        <f>TRUNC(+D63*3.3058,-1)</f>
        <v>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0</v>
      </c>
      <c r="E66" s="65">
        <f>SUM(E63:E65)</f>
        <v>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241</v>
      </c>
      <c r="C68" s="56" t="s">
        <v>242</v>
      </c>
      <c r="D68" s="57" t="s">
        <v>235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f>TRUNC(23792,-1)</f>
        <v>23790</v>
      </c>
      <c r="E69" s="62">
        <f t="shared" ref="E69:E94" si="2">TRUNC(+D69*3.3058,-1)</f>
        <v>78640</v>
      </c>
    </row>
    <row r="70" spans="1:7" ht="16.5" customHeight="1" x14ac:dyDescent="0.3">
      <c r="A70" s="2">
        <v>2</v>
      </c>
      <c r="C70" s="38" t="s">
        <v>31</v>
      </c>
      <c r="D70" s="42">
        <f>TRUNC(5346,-1)</f>
        <v>5340</v>
      </c>
      <c r="E70" s="63">
        <f t="shared" si="2"/>
        <v>17650</v>
      </c>
    </row>
    <row r="71" spans="1:7" x14ac:dyDescent="0.3">
      <c r="A71" s="2">
        <v>3</v>
      </c>
      <c r="C71" s="38" t="s">
        <v>32</v>
      </c>
      <c r="D71" s="42">
        <f>TRUNC(2233,-1)</f>
        <v>2230</v>
      </c>
      <c r="E71" s="63">
        <f t="shared" si="2"/>
        <v>7370</v>
      </c>
    </row>
    <row r="72" spans="1:7" x14ac:dyDescent="0.3">
      <c r="A72" s="2">
        <v>4</v>
      </c>
      <c r="C72" s="38" t="s">
        <v>33</v>
      </c>
      <c r="D72" s="42">
        <f>TRUNC(2876,-1)</f>
        <v>2870</v>
      </c>
      <c r="E72" s="63">
        <f t="shared" si="2"/>
        <v>9480</v>
      </c>
    </row>
    <row r="73" spans="1:7" x14ac:dyDescent="0.3">
      <c r="A73" s="2">
        <v>5</v>
      </c>
      <c r="C73" s="38" t="s">
        <v>34</v>
      </c>
      <c r="D73" s="42">
        <f>TRUNC(9107,-1)</f>
        <v>9100</v>
      </c>
      <c r="E73" s="63">
        <f t="shared" si="2"/>
        <v>30080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 t="shared" si="2"/>
        <v>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f>TRUNC(4214,-1)</f>
        <v>4210</v>
      </c>
      <c r="E81" s="63">
        <f t="shared" si="2"/>
        <v>13910</v>
      </c>
    </row>
    <row r="82" spans="1:7" x14ac:dyDescent="0.3">
      <c r="A82" s="2">
        <v>14</v>
      </c>
      <c r="C82" s="38" t="s">
        <v>134</v>
      </c>
      <c r="D82" s="42">
        <f>TRUNC(2093,-1)</f>
        <v>2090</v>
      </c>
      <c r="E82" s="63">
        <f t="shared" si="2"/>
        <v>6900</v>
      </c>
      <c r="F82" s="2" t="s">
        <v>253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TRUNC(3900,-1)</f>
        <v>3900</v>
      </c>
      <c r="E89" s="63">
        <f t="shared" si="2"/>
        <v>12890</v>
      </c>
    </row>
    <row r="90" spans="1:7" x14ac:dyDescent="0.3">
      <c r="A90" s="2">
        <v>22</v>
      </c>
      <c r="C90" s="38" t="s">
        <v>36</v>
      </c>
      <c r="D90" s="42">
        <f>TRUNC(248,-1)</f>
        <v>240</v>
      </c>
      <c r="E90" s="63">
        <f t="shared" si="2"/>
        <v>790</v>
      </c>
    </row>
    <row r="91" spans="1:7" x14ac:dyDescent="0.3">
      <c r="A91" s="2">
        <v>23</v>
      </c>
      <c r="C91" s="38" t="s">
        <v>37</v>
      </c>
      <c r="D91" s="42">
        <v>0</v>
      </c>
      <c r="E91" s="63">
        <f t="shared" si="2"/>
        <v>0</v>
      </c>
    </row>
    <row r="92" spans="1:7" x14ac:dyDescent="0.3">
      <c r="A92" s="2">
        <v>24</v>
      </c>
      <c r="C92" s="38" t="s">
        <v>38</v>
      </c>
      <c r="D92" s="42">
        <f>TRUNC(8706,-1)</f>
        <v>8700</v>
      </c>
      <c r="E92" s="63">
        <f t="shared" si="2"/>
        <v>28760</v>
      </c>
    </row>
    <row r="93" spans="1:7" x14ac:dyDescent="0.3">
      <c r="A93" s="2">
        <v>25</v>
      </c>
      <c r="C93" s="38" t="s">
        <v>148</v>
      </c>
      <c r="D93" s="42">
        <v>0</v>
      </c>
      <c r="E93" s="63">
        <f t="shared" si="2"/>
        <v>0</v>
      </c>
    </row>
    <row r="94" spans="1:7" ht="17.25" thickBot="1" x14ac:dyDescent="0.35">
      <c r="A94" s="2">
        <v>26</v>
      </c>
      <c r="C94" s="38" t="s">
        <v>47</v>
      </c>
      <c r="D94" s="43">
        <f>TRUNC(2442+4896+354+43628+4412,-1)</f>
        <v>55730</v>
      </c>
      <c r="E94" s="64">
        <f t="shared" si="2"/>
        <v>184230</v>
      </c>
      <c r="F94" s="2" t="s">
        <v>254</v>
      </c>
    </row>
    <row r="95" spans="1:7" x14ac:dyDescent="0.3">
      <c r="A95" s="2">
        <v>27</v>
      </c>
      <c r="C95" s="27" t="s">
        <v>112</v>
      </c>
      <c r="D95" s="39">
        <f>SUM(D69:D94)</f>
        <v>118200</v>
      </c>
      <c r="E95" s="39">
        <f>SUM(E69:E94)</f>
        <v>390700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243</v>
      </c>
      <c r="C97" s="56" t="s">
        <v>242</v>
      </c>
      <c r="D97" s="57" t="s">
        <v>235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f>TRUNC(2101+3076,-1)</f>
        <v>5170</v>
      </c>
      <c r="E98" s="62">
        <f t="shared" ref="E98:E118" si="3">TRUNC(+D98*3.3058,-1)</f>
        <v>17090</v>
      </c>
      <c r="F98" s="2" t="s">
        <v>257</v>
      </c>
    </row>
    <row r="99" spans="1:7" x14ac:dyDescent="0.3">
      <c r="A99" s="2">
        <v>2</v>
      </c>
      <c r="C99" s="38" t="s">
        <v>40</v>
      </c>
      <c r="D99" s="42">
        <f>TRUNC(2499+705,-1)</f>
        <v>3200</v>
      </c>
      <c r="E99" s="63">
        <f t="shared" si="3"/>
        <v>10570</v>
      </c>
      <c r="F99" s="2" t="s">
        <v>258</v>
      </c>
    </row>
    <row r="100" spans="1:7" x14ac:dyDescent="0.3">
      <c r="A100" s="2">
        <v>3</v>
      </c>
      <c r="C100" s="38" t="s">
        <v>41</v>
      </c>
      <c r="D100" s="42">
        <f>TRUNC(19043,-1)</f>
        <v>19040</v>
      </c>
      <c r="E100" s="63">
        <f t="shared" si="3"/>
        <v>62940</v>
      </c>
    </row>
    <row r="101" spans="1:7" x14ac:dyDescent="0.3">
      <c r="A101" s="2">
        <v>4</v>
      </c>
      <c r="C101" s="38" t="s">
        <v>42</v>
      </c>
      <c r="D101" s="42">
        <v>0</v>
      </c>
      <c r="E101" s="63">
        <f t="shared" si="3"/>
        <v>0</v>
      </c>
    </row>
    <row r="102" spans="1:7" x14ac:dyDescent="0.3">
      <c r="A102" s="2">
        <v>5</v>
      </c>
      <c r="C102" s="38" t="s">
        <v>43</v>
      </c>
      <c r="D102" s="42">
        <f>TRUNC(8422,-1)</f>
        <v>8420</v>
      </c>
      <c r="E102" s="63">
        <f t="shared" si="3"/>
        <v>27830</v>
      </c>
    </row>
    <row r="103" spans="1:7" x14ac:dyDescent="0.3">
      <c r="A103" s="2">
        <v>6</v>
      </c>
      <c r="C103" s="38" t="s">
        <v>44</v>
      </c>
      <c r="D103" s="42">
        <v>0</v>
      </c>
      <c r="E103" s="63">
        <f t="shared" si="3"/>
        <v>0</v>
      </c>
    </row>
    <row r="104" spans="1:7" x14ac:dyDescent="0.3">
      <c r="A104" s="2">
        <v>7</v>
      </c>
      <c r="C104" s="38" t="s">
        <v>45</v>
      </c>
      <c r="D104" s="42">
        <f>TRUNC(1998,-1)</f>
        <v>1990</v>
      </c>
      <c r="E104" s="63">
        <f t="shared" si="3"/>
        <v>6570</v>
      </c>
    </row>
    <row r="105" spans="1:7" x14ac:dyDescent="0.3">
      <c r="A105" s="2">
        <v>8</v>
      </c>
      <c r="C105" s="38" t="s">
        <v>46</v>
      </c>
      <c r="D105" s="42">
        <f>TRUNC(6803,-1)</f>
        <v>6800</v>
      </c>
      <c r="E105" s="63">
        <f t="shared" si="3"/>
        <v>22470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f>TRUNC(1621,-1)</f>
        <v>1620</v>
      </c>
      <c r="E108" s="63">
        <f t="shared" si="3"/>
        <v>5350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v>0</v>
      </c>
      <c r="E114" s="63">
        <f t="shared" si="3"/>
        <v>0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f>TRUNC(916,-1)</f>
        <v>910</v>
      </c>
      <c r="E116" s="63">
        <f t="shared" si="3"/>
        <v>3000</v>
      </c>
      <c r="F116" s="2" t="s">
        <v>255</v>
      </c>
    </row>
    <row r="117" spans="1:7" x14ac:dyDescent="0.3">
      <c r="A117" s="2">
        <v>20</v>
      </c>
      <c r="C117" s="38" t="s">
        <v>148</v>
      </c>
      <c r="D117" s="42">
        <v>0</v>
      </c>
      <c r="E117" s="63">
        <f t="shared" si="3"/>
        <v>0</v>
      </c>
    </row>
    <row r="118" spans="1:7" ht="17.25" thickBot="1" x14ac:dyDescent="0.35">
      <c r="A118" s="2">
        <v>21</v>
      </c>
      <c r="C118" s="38" t="s">
        <v>47</v>
      </c>
      <c r="D118" s="43">
        <f>TRUNC(410+2895+156+151,-1)</f>
        <v>3610</v>
      </c>
      <c r="E118" s="64">
        <f t="shared" si="3"/>
        <v>11930</v>
      </c>
      <c r="F118" s="2" t="s">
        <v>256</v>
      </c>
    </row>
    <row r="119" spans="1:7" x14ac:dyDescent="0.3">
      <c r="A119" s="2">
        <v>22</v>
      </c>
      <c r="C119" s="27" t="s">
        <v>112</v>
      </c>
      <c r="D119" s="39">
        <f>SUM(D98:D118)</f>
        <v>50760</v>
      </c>
      <c r="E119" s="39">
        <f>SUM(E98:E118)</f>
        <v>167750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244</v>
      </c>
      <c r="C121" s="56" t="s">
        <v>242</v>
      </c>
      <c r="D121" s="57" t="s">
        <v>235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f>TRUNC(1886,-1)</f>
        <v>1880</v>
      </c>
      <c r="E122" s="62">
        <f t="shared" ref="E122:E132" si="4">TRUNC(+D122*3.3058,-1)</f>
        <v>6210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v>0</v>
      </c>
      <c r="E124" s="63">
        <f t="shared" si="4"/>
        <v>0</v>
      </c>
    </row>
    <row r="125" spans="1:7" x14ac:dyDescent="0.3">
      <c r="A125" s="2">
        <v>4</v>
      </c>
      <c r="C125" s="38" t="s">
        <v>138</v>
      </c>
      <c r="D125" s="42">
        <f>TRUNC(365+3360,-1)</f>
        <v>3720</v>
      </c>
      <c r="E125" s="63">
        <f t="shared" si="4"/>
        <v>12290</v>
      </c>
      <c r="F125" s="2" t="s">
        <v>260</v>
      </c>
    </row>
    <row r="126" spans="1:7" x14ac:dyDescent="0.3">
      <c r="A126" s="2">
        <v>5</v>
      </c>
      <c r="C126" s="38" t="s">
        <v>53</v>
      </c>
      <c r="D126" s="42">
        <f>TRUNC(1520,-1)</f>
        <v>1520</v>
      </c>
      <c r="E126" s="63">
        <f t="shared" si="4"/>
        <v>5020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4"/>
        <v>0</v>
      </c>
    </row>
    <row r="128" spans="1:7" x14ac:dyDescent="0.3">
      <c r="A128" s="2">
        <v>7</v>
      </c>
      <c r="C128" s="38" t="s">
        <v>46</v>
      </c>
      <c r="D128" s="42">
        <v>0</v>
      </c>
      <c r="E128" s="63">
        <f t="shared" si="4"/>
        <v>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TRUNC(7679,-1)</f>
        <v>7670</v>
      </c>
      <c r="E130" s="63">
        <f t="shared" si="4"/>
        <v>25350</v>
      </c>
    </row>
    <row r="131" spans="1:7" x14ac:dyDescent="0.3">
      <c r="A131" s="2">
        <v>10</v>
      </c>
      <c r="C131" s="38" t="s">
        <v>148</v>
      </c>
      <c r="D131" s="42">
        <v>0</v>
      </c>
      <c r="E131" s="63">
        <f t="shared" si="4"/>
        <v>0</v>
      </c>
    </row>
    <row r="132" spans="1:7" ht="18" thickBot="1" x14ac:dyDescent="0.35">
      <c r="A132" s="2">
        <v>11</v>
      </c>
      <c r="C132" s="38" t="s">
        <v>47</v>
      </c>
      <c r="D132" s="43">
        <f>TRUNC(526+830+1868,-1)</f>
        <v>3220</v>
      </c>
      <c r="E132" s="64">
        <f t="shared" si="4"/>
        <v>10640</v>
      </c>
      <c r="F132" s="54" t="s">
        <v>259</v>
      </c>
    </row>
    <row r="133" spans="1:7" x14ac:dyDescent="0.3">
      <c r="A133" s="2">
        <v>12</v>
      </c>
      <c r="C133" s="27" t="s">
        <v>112</v>
      </c>
      <c r="D133" s="39">
        <f>SUM(D122:D132)</f>
        <v>18010</v>
      </c>
      <c r="E133" s="39">
        <f>SUM(E122:E132)</f>
        <v>59510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245</v>
      </c>
      <c r="C135" s="56" t="s">
        <v>242</v>
      </c>
      <c r="D135" s="57" t="s">
        <v>235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f>TRUNC(8814,-1)</f>
        <v>8810</v>
      </c>
      <c r="E136" s="62">
        <f t="shared" ref="E136:E145" si="5">TRUNC(+D136*3.3058,-1)</f>
        <v>29120</v>
      </c>
    </row>
    <row r="137" spans="1:7" x14ac:dyDescent="0.3">
      <c r="A137" s="2">
        <v>2</v>
      </c>
      <c r="C137" s="38" t="s">
        <v>47</v>
      </c>
      <c r="D137" s="42">
        <f>TRUNC(13021,-1)</f>
        <v>13020</v>
      </c>
      <c r="E137" s="63">
        <f t="shared" si="5"/>
        <v>43040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v>0</v>
      </c>
      <c r="E139" s="63">
        <f t="shared" si="5"/>
        <v>0</v>
      </c>
    </row>
    <row r="140" spans="1:7" x14ac:dyDescent="0.3">
      <c r="A140" s="2">
        <v>5</v>
      </c>
      <c r="C140" s="38" t="s">
        <v>57</v>
      </c>
      <c r="D140" s="42">
        <v>0</v>
      </c>
      <c r="E140" s="63">
        <f t="shared" si="5"/>
        <v>0</v>
      </c>
    </row>
    <row r="141" spans="1:7" x14ac:dyDescent="0.3">
      <c r="A141" s="2">
        <v>6</v>
      </c>
      <c r="C141" s="38" t="s">
        <v>59</v>
      </c>
      <c r="D141" s="42">
        <v>0</v>
      </c>
      <c r="E141" s="63">
        <f t="shared" si="5"/>
        <v>0</v>
      </c>
    </row>
    <row r="142" spans="1:7" x14ac:dyDescent="0.3">
      <c r="A142" s="2">
        <v>7</v>
      </c>
      <c r="C142" s="38" t="s">
        <v>58</v>
      </c>
      <c r="D142" s="42">
        <v>0</v>
      </c>
      <c r="E142" s="63">
        <f t="shared" si="5"/>
        <v>0</v>
      </c>
    </row>
    <row r="143" spans="1:7" x14ac:dyDescent="0.3">
      <c r="A143" s="2">
        <v>8</v>
      </c>
      <c r="C143" s="38" t="s">
        <v>62</v>
      </c>
      <c r="D143" s="42">
        <v>0</v>
      </c>
      <c r="E143" s="63">
        <f t="shared" si="5"/>
        <v>0</v>
      </c>
    </row>
    <row r="144" spans="1:7" x14ac:dyDescent="0.3">
      <c r="A144" s="2">
        <v>9</v>
      </c>
      <c r="C144" s="38" t="s">
        <v>63</v>
      </c>
      <c r="D144" s="42">
        <v>0</v>
      </c>
      <c r="E144" s="63">
        <f t="shared" si="5"/>
        <v>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21830</v>
      </c>
      <c r="E146" s="39">
        <f>SUM(E136:E145)</f>
        <v>72160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246</v>
      </c>
      <c r="C148" s="56" t="s">
        <v>242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v>0</v>
      </c>
      <c r="E149" s="62">
        <f>TRUNC(+D149*3.3058,-1)</f>
        <v>0</v>
      </c>
    </row>
    <row r="150" spans="1:7" x14ac:dyDescent="0.3">
      <c r="A150" s="2">
        <v>2</v>
      </c>
      <c r="C150" s="38" t="s">
        <v>49</v>
      </c>
      <c r="D150" s="42">
        <v>0</v>
      </c>
      <c r="E150" s="63">
        <f>TRUNC(+D150*3.3058,-1)</f>
        <v>0</v>
      </c>
    </row>
    <row r="151" spans="1:7" x14ac:dyDescent="0.3">
      <c r="A151" s="2">
        <v>3</v>
      </c>
      <c r="C151" s="38" t="s">
        <v>50</v>
      </c>
      <c r="D151" s="42">
        <v>0</v>
      </c>
      <c r="E151" s="63">
        <f>TRUNC(+D151*3.3058,-1)</f>
        <v>0</v>
      </c>
    </row>
    <row r="152" spans="1:7" x14ac:dyDescent="0.3">
      <c r="A152" s="2">
        <v>4</v>
      </c>
      <c r="C152" s="38" t="s">
        <v>47</v>
      </c>
      <c r="D152" s="42">
        <f>TRUNC(40246,-1)</f>
        <v>40240</v>
      </c>
      <c r="E152" s="63">
        <f>TRUNC(+D152*3.3058,-1)</f>
        <v>133020</v>
      </c>
    </row>
    <row r="153" spans="1:7" ht="17.25" thickBot="1" x14ac:dyDescent="0.35">
      <c r="A153" s="2">
        <v>5</v>
      </c>
      <c r="C153" s="38" t="s">
        <v>148</v>
      </c>
      <c r="D153" s="43">
        <v>0</v>
      </c>
      <c r="E153" s="64">
        <f>TRUNC(+D153*3.3058,-1)</f>
        <v>0</v>
      </c>
    </row>
    <row r="154" spans="1:7" x14ac:dyDescent="0.3">
      <c r="A154" s="2">
        <v>6</v>
      </c>
      <c r="C154" s="27" t="s">
        <v>112</v>
      </c>
      <c r="D154" s="39">
        <f>SUM(D149:D153)</f>
        <v>40240</v>
      </c>
      <c r="E154" s="39">
        <f>SUM(E149:E153)</f>
        <v>133020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247</v>
      </c>
      <c r="C156" s="56" t="s">
        <v>242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v>0</v>
      </c>
      <c r="E157" s="62">
        <f>TRUNC(+D157*3.3058,-1)</f>
        <v>0</v>
      </c>
    </row>
    <row r="158" spans="1:7" x14ac:dyDescent="0.3">
      <c r="A158" s="2">
        <v>2</v>
      </c>
      <c r="C158" s="38" t="s">
        <v>52</v>
      </c>
      <c r="D158" s="42">
        <v>0</v>
      </c>
      <c r="E158" s="63">
        <f>TRUNC(+D158*3.3058,-1)</f>
        <v>0</v>
      </c>
    </row>
    <row r="159" spans="1:7" x14ac:dyDescent="0.3">
      <c r="A159" s="2">
        <v>3</v>
      </c>
      <c r="C159" s="38" t="s">
        <v>47</v>
      </c>
      <c r="D159" s="42">
        <f>TRUNC(22841,-1)</f>
        <v>22840</v>
      </c>
      <c r="E159" s="63">
        <f>TRUNC(+D159*3.3058,-1)</f>
        <v>75500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22840</v>
      </c>
      <c r="E161" s="39">
        <f>SUM(E157:E160)</f>
        <v>75500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2020-12-07T09:50:28Z</dcterms:modified>
</cp:coreProperties>
</file>