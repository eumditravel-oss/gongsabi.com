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92" i="4"/>
  <c r="D91" i="4"/>
  <c r="D90" i="4"/>
  <c r="D89" i="4"/>
  <c r="D73" i="4"/>
  <c r="D72" i="4"/>
  <c r="D71" i="4"/>
  <c r="D70" i="4"/>
  <c r="D69" i="4"/>
  <c r="D65" i="4"/>
  <c r="D63" i="4"/>
  <c r="D118" i="4"/>
  <c r="D116" i="4"/>
  <c r="D114" i="4"/>
  <c r="D105" i="4"/>
  <c r="D104" i="4"/>
  <c r="D103" i="4"/>
  <c r="D102" i="4"/>
  <c r="D100" i="4"/>
  <c r="D99" i="4"/>
  <c r="D98" i="4"/>
  <c r="D132" i="4"/>
  <c r="D130" i="4"/>
  <c r="D128" i="4"/>
  <c r="D127" i="4"/>
  <c r="D126" i="4"/>
  <c r="D125" i="4"/>
  <c r="D124" i="4"/>
  <c r="D122" i="4"/>
  <c r="D144" i="4"/>
  <c r="D143" i="4"/>
  <c r="D142" i="4"/>
  <c r="D141" i="4"/>
  <c r="D140" i="4"/>
  <c r="D139" i="4"/>
  <c r="D137" i="4"/>
  <c r="D152" i="4"/>
  <c r="D151" i="4"/>
  <c r="D150" i="4"/>
  <c r="D149" i="4"/>
  <c r="D157" i="4"/>
  <c r="D158" i="4"/>
  <c r="D160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<sst xmlns="http://schemas.openxmlformats.org/spreadsheetml/2006/main" count="394" uniqueCount="269">
  <si>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</si>
  <si>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</si>
  <si>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</si>
  <si>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</si>
  <si>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</si>
  <si>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</si>
  <si>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</si>
  <si>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</si>
  <si>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</si>
  <si>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</si>
  <si>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</si>
  <si>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</si>
  <si>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</si>
  <si>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</si>
  <si>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</si>
  <si>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</si>
  <si>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</si>
  <si>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</si>
  <si>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</si>
  <si>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</si>
  <si>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</si>
  <si>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</si>
  <si>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</si>
  <si>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</si>
  <si>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</si>
  <si>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</si>
  <si>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</si>
  <si>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</si>
  <si>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</si>
  <si>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</si>
  <si>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</si>
  <si>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</si>
  <si>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</si>
  <si>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</si>
  <si>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</si>
  <si>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</si>
  <si>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</si>
  <si>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</si>
  <si>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</si>
  <si>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</si>
  <si>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</si>
  <si>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</si>
  <si>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</si>
  <si>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</si>
  <si>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</si>
  <si>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</si>
  <si>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</si>
  <si>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</si>
  <si>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</si>
  <si>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</si>
  <si>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</si>
  <si>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</si>
  <si>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</si>
  <si>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</si>
  <si>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</si>
  <si>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</si>
  <si>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</si>
  <si>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</si>
  <si>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</si>
  <si>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</si>
  <si>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</si>
  <si>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</si>
  <si>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</si>
  <si>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</si>
  <si>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</si>
  <si>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</si>
  <si>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</si>
  <si>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</si>
  <si>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</si>
  <si>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</si>
  <si>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</si>
  <si>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</si>
  <si>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</si>
  <si>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</si>
  <si>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</si>
  <si>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</si>
  <si>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</si>
  <si>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</si>
  <si>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</si>
  <si>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</si>
  <si>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</si>
  <si>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</si>
  <si>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</si>
  <si>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</si>
  <si>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</si>
  <si>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</si>
  <si>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</si>
  <si>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</si>
  <si>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</si>
  <si>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</si>
  <si>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</si>
  <si>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</si>
  <si>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</si>
  <si>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</si>
  <si>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</si>
  <si>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</si>
  <si>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</si>
  <si>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</si>
  <si>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</si>
  <si>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</si>
  <si>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</si>
  <si>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</si>
  <si>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</si>
  <si>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</si>
  <si>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</si>
  <si>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</si>
  <si>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</si>
  <si>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</si>
  <si>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</si>
  <si>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</si>
  <si>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</si>
  <si>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</si>
  <si>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</si>
  <si>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</si>
  <si>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</si>
  <si>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</si>
  <si>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</si>
  <si>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</si>
  <si>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</si>
  <si>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</si>
  <si>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</si>
  <si>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</si>
  <si>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</si>
  <si>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</si>
  <si>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</si>
  <si>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</si>
  <si>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</si>
  <si>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</si>
  <si>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</si>
  <si>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</si>
  <si>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</si>
  <si>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</si>
  <si>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</si>
  <si>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</si>
  <si>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</si>
  <si>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</si>
  <si>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</si>
  <si>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</si>
  <si>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</si>
  <si>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</si>
  <si>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</si>
  <si>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</si>
  <si>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</si>
  <si>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</si>
  <si>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</si>
  <si>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</si>
  <si>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</si>
  <si>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</si>
  <si>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</si>
  <si>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</si>
  <si>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</si>
  <si>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</si>
  <si>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</si>
  <si>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</si>
  <si>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</si>
  <si>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</si>
  <si>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</si>
  <si>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</si>
  <si>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</si>
  <si>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</si>
  <si>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</si>
  <si>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</si>
  <si>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</si>
  <si>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</si>
  <si>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</si>
  <si>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</si>
  <si>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</si>
  <si>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</si>
  <si>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</si>
  <si>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</si>
  <si>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</si>
  <si>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</si>
  <si>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</si>
  <si>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</si>
  <si>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</si>
  <si>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</si>
  <si>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</si>
  <si>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</si>
  <si>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</si>
  <si>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</si>
  <si>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</si>
  <si>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</si>
  <si>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</si>
  <si>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</si>
  <si>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</si>
  <si>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</si>
  <si>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</si>
  <si>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</si>
  <si>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</si>
  <si>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</si>
  <si>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</si>
  <si>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</si>
  <si>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</si>
  <si>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</si>
  <si>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</si>
  <si>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</si>
  <si>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</si>
  <si>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</si>
  <si>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</si>
  <si>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</si>
  <si>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</si>
  <si>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</si>
  <si>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</si>
  <si>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</si>
  <si>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</si>
  <si>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</si>
  <si>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</si>
  <si>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</si>
  <si>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</si>
  <si>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</si>
  <si>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</si>
  <si>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</si>
  <si>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</si>
  <si>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</si>
  <si>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</si>
  <si>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</si>
  <si>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</si>
  <si>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</si>
  <si>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</si>
  <si>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</si>
  <si>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</si>
  <si>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</si>
  <si>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</si>
  <si>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</si>
  <si>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</si>
  <si>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</si>
  <si>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</si>
  <si>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</si>
  <si>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</si>
  <si>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</si>
  <si>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</si>
  <si>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</si>
  <si>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</si>
  <si>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</si>
  <si>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</si>
  <si>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</si>
  <si>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</si>
  <si>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</si>
  <si>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</si>
  <si>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</si>
  <si>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</si>
  <si>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</si>
  <si>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</si>
  <si>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</si>
  <si>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</si>
  <si>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</si>
  <si>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</si>
  <si>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</si>
  <si>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특공대 훈련시설 신축공사_건축(토목,조경,기계,소방공사포함)</t>
    <phoneticPr fontId="2" type="noConversion"/>
  </si>
  <si>
    <t>업무</t>
  </si>
  <si>
    <t>부산시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</si>
  <si>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</si>
  <si>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</si>
  <si>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</si>
  <si>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</si>
  <si>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</si>
  <si>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</si>
  <si>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</si>
  <si>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기초공사,해체및철거공사,골재비및운반비,작업부산물,품질시험비,기타공사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</si>
  <si>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</si>
  <si>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</si>
  <si>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</si>
  <si>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조경시설물</t>
    <phoneticPr fontId="2" type="noConversion"/>
  </si>
  <si>
    <t>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</si>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</sst>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8469.5400000000009</v>
      </c>
      <c r="D7" s="36">
        <f>+C7/3.3058</f>
        <v>2562.0243208905563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925320</v>
      </c>
      <c r="E25" s="59">
        <f t="shared" si="0"/>
        <v>3058920</v>
      </c>
    </row>
    <row r="26" spans="1:5" x14ac:dyDescent="0.3">
      <c r="B26" s="2">
        <v>3</v>
      </c>
      <c r="C26" s="35" t="s">
        <v>95</v>
      </c>
      <c r="D26" s="45">
        <f>+D66</f>
        <v>48430</v>
      </c>
      <c r="E26" s="59">
        <f t="shared" si="0"/>
        <v>160090</v>
      </c>
    </row>
    <row r="27" spans="1:5" x14ac:dyDescent="0.3">
      <c r="B27" s="2">
        <v>4</v>
      </c>
      <c r="C27" s="35" t="s">
        <v>96</v>
      </c>
      <c r="D27" s="45">
        <f>+D95</f>
        <v>207500</v>
      </c>
      <c r="E27" s="59">
        <f t="shared" si="0"/>
        <v>685950</v>
      </c>
    </row>
    <row r="28" spans="1:5" x14ac:dyDescent="0.3">
      <c r="B28" s="2">
        <v>5</v>
      </c>
      <c r="C28" s="35" t="s">
        <v>97</v>
      </c>
      <c r="D28" s="45">
        <f>+D119</f>
        <v>281480</v>
      </c>
      <c r="E28" s="59">
        <f t="shared" si="0"/>
        <v>930510</v>
      </c>
    </row>
    <row r="29" spans="1:5" x14ac:dyDescent="0.3">
      <c r="B29" s="2">
        <v>6</v>
      </c>
      <c r="C29" s="35" t="s">
        <v>98</v>
      </c>
      <c r="D29" s="45">
        <f>+D133</f>
        <v>133000</v>
      </c>
      <c r="E29" s="59">
        <f t="shared" si="0"/>
        <v>439670</v>
      </c>
    </row>
    <row r="30" spans="1:5" x14ac:dyDescent="0.3">
      <c r="B30" s="2">
        <v>7</v>
      </c>
      <c r="C30" s="35" t="s">
        <v>99</v>
      </c>
      <c r="D30" s="45">
        <f>+D146</f>
        <v>60430</v>
      </c>
      <c r="E30" s="59">
        <f t="shared" si="0"/>
        <v>199760</v>
      </c>
    </row>
    <row r="31" spans="1:5" x14ac:dyDescent="0.3">
      <c r="B31" s="2">
        <v>8</v>
      </c>
      <c r="C31" s="35" t="s">
        <v>100</v>
      </c>
      <c r="D31" s="45">
        <f>+D154</f>
        <v>112930</v>
      </c>
      <c r="E31" s="59">
        <f t="shared" si="0"/>
        <v>373320</v>
      </c>
    </row>
    <row r="32" spans="1:5" x14ac:dyDescent="0.3">
      <c r="B32" s="2">
        <v>9</v>
      </c>
      <c r="C32" s="35" t="s">
        <v>101</v>
      </c>
      <c r="D32" s="45">
        <f>+D161</f>
        <v>20560</v>
      </c>
      <c r="E32" s="59">
        <f t="shared" si="0"/>
        <v>67960</v>
      </c>
    </row>
    <row r="33" spans="1:7" x14ac:dyDescent="0.3">
      <c r="B33" s="2">
        <v>10</v>
      </c>
      <c r="C33" s="35" t="s">
        <v>154</v>
      </c>
      <c r="D33" s="53">
        <f>TRUNC(SUM(D24:D32)*0.275,-1)</f>
        <v>492150</v>
      </c>
      <c r="E33" s="60">
        <f t="shared" si="0"/>
        <v>1626940</v>
      </c>
    </row>
    <row r="34" spans="1:7" x14ac:dyDescent="0.3">
      <c r="C34" s="35" t="s">
        <v>112</v>
      </c>
      <c r="D34" s="44">
        <f>SUM(D24:D33)</f>
        <v>2281800</v>
      </c>
      <c r="E34" s="44">
        <f>SUM(E24:E33)</f>
        <v>7543120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TRUNC(56806,-1)</f>
        <v>56800</v>
      </c>
      <c r="E40" s="62">
        <f t="shared" ref="E40:E59" si="1">TRUNC(+D40*3.3058,-1)</f>
        <v>187760</v>
      </c>
    </row>
    <row r="41" spans="1:7" x14ac:dyDescent="0.3">
      <c r="A41" s="2">
        <v>2</v>
      </c>
      <c r="C41" s="38" t="s">
        <v>13</v>
      </c>
      <c r="D41" s="42">
        <f>TRUNC(155461,-1)</f>
        <v>155460</v>
      </c>
      <c r="E41" s="63">
        <f t="shared" si="1"/>
        <v>513910</v>
      </c>
    </row>
    <row r="42" spans="1:7" x14ac:dyDescent="0.3">
      <c r="A42" s="2">
        <v>3</v>
      </c>
      <c r="C42" s="38" t="s">
        <v>14</v>
      </c>
      <c r="D42" s="42">
        <f>TRUNC(13748,-1)</f>
        <v>13740</v>
      </c>
      <c r="E42" s="63">
        <f t="shared" si="1"/>
        <v>45420</v>
      </c>
    </row>
    <row r="43" spans="1:7" x14ac:dyDescent="0.3">
      <c r="A43" s="2">
        <v>4</v>
      </c>
      <c r="C43" s="38" t="s">
        <v>16</v>
      </c>
      <c r="D43" s="42">
        <f>TRUNC(23861,-1)</f>
        <v>23860</v>
      </c>
      <c r="E43" s="63">
        <f t="shared" si="1"/>
        <v>78870</v>
      </c>
    </row>
    <row r="44" spans="1:7" x14ac:dyDescent="0.3">
      <c r="A44" s="2">
        <v>5</v>
      </c>
      <c r="C44" s="38" t="s">
        <v>17</v>
      </c>
      <c r="D44" s="42">
        <f>TRUNC(24364,-1)</f>
        <v>24360</v>
      </c>
      <c r="E44" s="63">
        <f t="shared" si="1"/>
        <v>80520</v>
      </c>
    </row>
    <row r="45" spans="1:7" x14ac:dyDescent="0.3">
      <c r="A45" s="2">
        <v>6</v>
      </c>
      <c r="C45" s="38" t="s">
        <v>18</v>
      </c>
      <c r="D45" s="42">
        <f>TRUNC(13079,-1)</f>
        <v>13070</v>
      </c>
      <c r="E45" s="63">
        <f t="shared" si="1"/>
        <v>43200</v>
      </c>
    </row>
    <row r="46" spans="1:7" x14ac:dyDescent="0.3">
      <c r="A46" s="2">
        <v>7</v>
      </c>
      <c r="C46" s="38" t="s">
        <v>19</v>
      </c>
      <c r="D46" s="42">
        <f>TRUNC(4267,-1)</f>
        <v>4260</v>
      </c>
      <c r="E46" s="63">
        <f t="shared" si="1"/>
        <v>14080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TRUNC(73427,-1)</f>
        <v>73420</v>
      </c>
      <c r="E48" s="63">
        <f t="shared" si="1"/>
        <v>242710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TRUNC(28978,-1)</f>
        <v>28970</v>
      </c>
      <c r="E49" s="63">
        <f t="shared" si="1"/>
        <v>95760</v>
      </c>
    </row>
    <row r="50" spans="1:7" x14ac:dyDescent="0.3">
      <c r="A50" s="2">
        <v>11</v>
      </c>
      <c r="C50" s="38" t="s">
        <v>155</v>
      </c>
      <c r="D50" s="42">
        <f>TRUNC(38491,-1)</f>
        <v>38490</v>
      </c>
      <c r="E50" s="63">
        <f t="shared" si="1"/>
        <v>127240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TRUNC(14731,-1)</f>
        <v>14730</v>
      </c>
      <c r="E52" s="63">
        <f t="shared" si="1"/>
        <v>48690</v>
      </c>
    </row>
    <row r="53" spans="1:7" x14ac:dyDescent="0.3">
      <c r="A53" s="2">
        <v>14</v>
      </c>
      <c r="C53" s="38" t="s">
        <v>25</v>
      </c>
      <c r="D53" s="42">
        <f>TRUNC(73458,-1)</f>
        <v>73450</v>
      </c>
      <c r="E53" s="63">
        <f t="shared" si="1"/>
        <v>242810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TRUNC(1030+28627+10645-956+2100+9198,-1)</f>
        <v>50640</v>
      </c>
      <c r="E58" s="63">
        <f t="shared" si="1"/>
        <v>167400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TRUNC(354076,-1)</f>
        <v>354070</v>
      </c>
      <c r="E59" s="64">
        <f t="shared" si="1"/>
        <v>1170480</v>
      </c>
    </row>
    <row r="60" spans="1:7" x14ac:dyDescent="0.3">
      <c r="A60" s="2">
        <v>21</v>
      </c>
      <c r="C60" s="27" t="s">
        <v>112</v>
      </c>
      <c r="D60" s="39">
        <f>SUM(D40:D59)</f>
        <v>925320</v>
      </c>
      <c r="E60" s="39">
        <f>SUM(E40:E59)</f>
        <v>3058850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TRUNC(20734,-1)</f>
        <v>20730</v>
      </c>
      <c r="E63" s="62">
        <f>TRUNC(+D63*3.3058,-1)</f>
        <v>68520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TRUNC(27705,-1)</f>
        <v>27700</v>
      </c>
      <c r="E65" s="64">
        <f>TRUNC(+D65*3.3058,-1)</f>
        <v>91570</v>
      </c>
    </row>
    <row r="66" spans="1:7" x14ac:dyDescent="0.3">
      <c r="A66" s="2">
        <v>4</v>
      </c>
      <c r="C66" s="27" t="s">
        <v>112</v>
      </c>
      <c r="D66" s="39">
        <f>SUM(D63:D65)</f>
        <v>48430</v>
      </c>
      <c r="E66" s="65">
        <f>SUM(E63:E65)</f>
        <v>160090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TRUNC(12605,-1)</f>
        <v>12600</v>
      </c>
      <c r="E69" s="62">
        <f t="shared" ref="E69:E94" si="2">TRUNC(+D69*3.3058,-1)</f>
        <v>41650</v>
      </c>
    </row>
    <row r="70" spans="1:7" ht="16.5" customHeight="1" x14ac:dyDescent="0.3">
      <c r="A70" s="2">
        <v>2</v>
      </c>
      <c r="C70" s="38" t="s">
        <v>31</v>
      </c>
      <c r="D70" s="42">
        <f>TRUNC(250,-1)</f>
        <v>250</v>
      </c>
      <c r="E70" s="63">
        <f t="shared" si="2"/>
        <v>820</v>
      </c>
    </row>
    <row r="71" spans="1:7" x14ac:dyDescent="0.3">
      <c r="A71" s="2">
        <v>3</v>
      </c>
      <c r="C71" s="38" t="s">
        <v>32</v>
      </c>
      <c r="D71" s="42">
        <f>TRUNC(12213,-1)</f>
        <v>12210</v>
      </c>
      <c r="E71" s="63">
        <f t="shared" si="2"/>
        <v>40360</v>
      </c>
    </row>
    <row r="72" spans="1:7" x14ac:dyDescent="0.3">
      <c r="A72" s="2">
        <v>4</v>
      </c>
      <c r="C72" s="38" t="s">
        <v>33</v>
      </c>
      <c r="D72" s="42">
        <f>TRUNC(7714,-1)</f>
        <v>7710</v>
      </c>
      <c r="E72" s="63">
        <f t="shared" si="2"/>
        <v>25480</v>
      </c>
    </row>
    <row r="73" spans="1:7" x14ac:dyDescent="0.3">
      <c r="A73" s="2">
        <v>5</v>
      </c>
      <c r="C73" s="38" t="s">
        <v>34</v>
      </c>
      <c r="D73" s="42">
        <f>TRUNC(15079,-1)</f>
        <v>15070</v>
      </c>
      <c r="E73" s="63">
        <f t="shared" si="2"/>
        <v>49810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TRUNC(10102,-1)</f>
        <v>10100</v>
      </c>
      <c r="E89" s="63">
        <f t="shared" si="2"/>
        <v>33380</v>
      </c>
    </row>
    <row r="90" spans="1:7" x14ac:dyDescent="0.3">
      <c r="A90" s="2">
        <v>22</v>
      </c>
      <c r="C90" s="38" t="s">
        <v>36</v>
      </c>
      <c r="D90" s="42">
        <f>TRUNC(3909,-1)</f>
        <v>3900</v>
      </c>
      <c r="E90" s="63">
        <f t="shared" si="2"/>
        <v>12890</v>
      </c>
    </row>
    <row r="91" spans="1:7" x14ac:dyDescent="0.3">
      <c r="A91" s="2">
        <v>23</v>
      </c>
      <c r="C91" s="38" t="s">
        <v>37</v>
      </c>
      <c r="D91" s="42">
        <f>TRUNC(22190,-1)</f>
        <v>22190</v>
      </c>
      <c r="E91" s="63">
        <f t="shared" si="2"/>
        <v>73350</v>
      </c>
    </row>
    <row r="92" spans="1:7" x14ac:dyDescent="0.3">
      <c r="A92" s="2">
        <v>24</v>
      </c>
      <c r="C92" s="38" t="s">
        <v>38</v>
      </c>
      <c r="D92" s="42">
        <f>TRUNC(15092,-1)</f>
        <v>15090</v>
      </c>
      <c r="E92" s="63">
        <f t="shared" si="2"/>
        <v>49880</v>
      </c>
    </row>
    <row r="93" spans="1:7" x14ac:dyDescent="0.3">
      <c r="A93" s="2">
        <v>25</v>
      </c>
      <c r="C93" s="38" t="s">
        <v>148</v>
      </c>
      <c r="D93" s="42">
        <f>TRUNC(96993,-1)</f>
        <v>96990</v>
      </c>
      <c r="E93" s="63">
        <f t="shared" si="2"/>
        <v>320620</v>
      </c>
    </row>
    <row r="94" spans="1:7" ht="17.25" thickBot="1" x14ac:dyDescent="0.35">
      <c r="A94" s="2">
        <v>26</v>
      </c>
      <c r="C94" s="38" t="s">
        <v>47</v>
      </c>
      <c r="D94" s="43">
        <f>TRUNC(4256+7143,-1)</f>
        <v>11390</v>
      </c>
      <c r="E94" s="64">
        <f t="shared" si="2"/>
        <v>37650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207500</v>
      </c>
      <c r="E95" s="39">
        <f>SUM(E69:E94)</f>
        <v>685890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TRUNC(20673,-1)</f>
        <v>20670</v>
      </c>
      <c r="E98" s="62">
        <f t="shared" ref="E98:E118" si="3">TRUNC(+D98*3.3058,-1)</f>
        <v>68330</v>
      </c>
    </row>
    <row r="99" spans="1:7" x14ac:dyDescent="0.3">
      <c r="A99" s="2">
        <v>2</v>
      </c>
      <c r="C99" s="38" t="s">
        <v>40</v>
      </c>
      <c r="D99" s="42">
        <f>TRUNC(7551,-1)</f>
        <v>7550</v>
      </c>
      <c r="E99" s="63">
        <f t="shared" si="3"/>
        <v>24950</v>
      </c>
    </row>
    <row r="100" spans="1:7" x14ac:dyDescent="0.3">
      <c r="A100" s="2">
        <v>3</v>
      </c>
      <c r="C100" s="38" t="s">
        <v>41</v>
      </c>
      <c r="D100" s="42">
        <f>TRUNC(30910,-1)</f>
        <v>30910</v>
      </c>
      <c r="E100" s="63">
        <f t="shared" si="3"/>
        <v>102180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TRUNC(9230,-1)</f>
        <v>9230</v>
      </c>
      <c r="E102" s="63">
        <f t="shared" si="3"/>
        <v>30510</v>
      </c>
    </row>
    <row r="103" spans="1:7" x14ac:dyDescent="0.3">
      <c r="A103" s="2">
        <v>6</v>
      </c>
      <c r="C103" s="38" t="s">
        <v>44</v>
      </c>
      <c r="D103" s="42">
        <f>TRUNC(3069,-1)</f>
        <v>3060</v>
      </c>
      <c r="E103" s="63">
        <f t="shared" si="3"/>
        <v>10110</v>
      </c>
    </row>
    <row r="104" spans="1:7" x14ac:dyDescent="0.3">
      <c r="A104" s="2">
        <v>7</v>
      </c>
      <c r="C104" s="38" t="s">
        <v>45</v>
      </c>
      <c r="D104" s="42">
        <f>TRUNC(12439,-1)</f>
        <v>12430</v>
      </c>
      <c r="E104" s="63">
        <f t="shared" si="3"/>
        <v>41090</v>
      </c>
    </row>
    <row r="105" spans="1:7" x14ac:dyDescent="0.3">
      <c r="A105" s="2">
        <v>8</v>
      </c>
      <c r="C105" s="38" t="s">
        <v>46</v>
      </c>
      <c r="D105" s="42">
        <f>TRUNC(5794,-1)</f>
        <v>5790</v>
      </c>
      <c r="E105" s="63">
        <f t="shared" si="3"/>
        <v>19140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TRUNC(4773,-1)</f>
        <v>4770</v>
      </c>
      <c r="E114" s="63">
        <f t="shared" si="3"/>
        <v>15760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TRUNC(3339,-1)</f>
        <v>3330</v>
      </c>
      <c r="E116" s="63">
        <f t="shared" si="3"/>
        <v>11000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TRUNC(166765,-1)</f>
        <v>166760</v>
      </c>
      <c r="E117" s="63">
        <f t="shared" si="3"/>
        <v>551270</v>
      </c>
    </row>
    <row r="118" spans="1:7" ht="17.25" thickBot="1" x14ac:dyDescent="0.35">
      <c r="A118" s="2">
        <v>21</v>
      </c>
      <c r="C118" s="38" t="s">
        <v>47</v>
      </c>
      <c r="D118" s="43">
        <f>TRUNC(16982,-1)</f>
        <v>16980</v>
      </c>
      <c r="E118" s="64">
        <f t="shared" si="3"/>
        <v>56130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281480</v>
      </c>
      <c r="E119" s="39">
        <f>SUM(E98:E118)</f>
        <v>930470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TRUNC(5637,-1)</f>
        <v>5630</v>
      </c>
      <c r="E122" s="62">
        <f t="shared" ref="E122:E132" si="4">TRUNC(+D122*3.3058,-1)</f>
        <v>18610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TRUNC(1209,-1)</f>
        <v>1200</v>
      </c>
      <c r="E124" s="63">
        <f t="shared" si="4"/>
        <v>3960</v>
      </c>
    </row>
    <row r="125" spans="1:7" x14ac:dyDescent="0.3">
      <c r="A125" s="2">
        <v>4</v>
      </c>
      <c r="C125" s="38" t="s">
        <v>138</v>
      </c>
      <c r="D125" s="42">
        <f>TRUNC(6254,-1)</f>
        <v>6250</v>
      </c>
      <c r="E125" s="63">
        <f t="shared" si="4"/>
        <v>20660</v>
      </c>
    </row>
    <row r="126" spans="1:7" x14ac:dyDescent="0.3">
      <c r="A126" s="2">
        <v>5</v>
      </c>
      <c r="C126" s="38" t="s">
        <v>53</v>
      </c>
      <c r="D126" s="42">
        <f>TRUNC(12118,-1)</f>
        <v>12110</v>
      </c>
      <c r="E126" s="63">
        <f t="shared" si="4"/>
        <v>40030</v>
      </c>
    </row>
    <row r="127" spans="1:7" x14ac:dyDescent="0.3">
      <c r="A127" s="2">
        <v>6</v>
      </c>
      <c r="C127" s="38" t="s">
        <v>56</v>
      </c>
      <c r="D127" s="42">
        <f>TRUNC(823,-1)</f>
        <v>820</v>
      </c>
      <c r="E127" s="63">
        <f t="shared" si="4"/>
        <v>2710</v>
      </c>
    </row>
    <row r="128" spans="1:7" x14ac:dyDescent="0.3">
      <c r="A128" s="2">
        <v>7</v>
      </c>
      <c r="C128" s="38" t="s">
        <v>46</v>
      </c>
      <c r="D128" s="42">
        <f>TRUNC(6793,-1)</f>
        <v>6790</v>
      </c>
      <c r="E128" s="63">
        <f t="shared" si="4"/>
        <v>22440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TRUNC(34654,-1)</f>
        <v>34650</v>
      </c>
      <c r="E130" s="63">
        <f t="shared" si="4"/>
        <v>114540</v>
      </c>
    </row>
    <row r="131" spans="1:7" x14ac:dyDescent="0.3">
      <c r="A131" s="2">
        <v>10</v>
      </c>
      <c r="C131" s="38" t="s">
        <v>148</v>
      </c>
      <c r="D131" s="42">
        <f>TRUNC(59755,-1)</f>
        <v>59750</v>
      </c>
      <c r="E131" s="63">
        <f t="shared" si="4"/>
        <v>197520</v>
      </c>
    </row>
    <row r="132" spans="1:7" ht="18" thickBot="1" x14ac:dyDescent="0.35">
      <c r="A132" s="2">
        <v>11</v>
      </c>
      <c r="C132" s="38" t="s">
        <v>47</v>
      </c>
      <c r="D132" s="43">
        <f>TRUNC(935+2509+2364,-1)</f>
        <v>5800</v>
      </c>
      <c r="E132" s="64">
        <f t="shared" si="4"/>
        <v>19170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133000</v>
      </c>
      <c r="E133" s="39">
        <f>SUM(E122:E132)</f>
        <v>439640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TRUNC(6090+412,-1)</f>
        <v>6500</v>
      </c>
      <c r="E137" s="63">
        <f t="shared" si="5"/>
        <v>21480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TRUNC(2356,-1)</f>
        <v>2350</v>
      </c>
      <c r="E139" s="63">
        <f t="shared" si="5"/>
        <v>7760</v>
      </c>
    </row>
    <row r="140" spans="1:7" x14ac:dyDescent="0.3">
      <c r="A140" s="2">
        <v>5</v>
      </c>
      <c r="C140" s="38" t="s">
        <v>57</v>
      </c>
      <c r="D140" s="42">
        <f>TRUNC(2236,-1)</f>
        <v>2230</v>
      </c>
      <c r="E140" s="63">
        <f t="shared" si="5"/>
        <v>7370</v>
      </c>
    </row>
    <row r="141" spans="1:7" x14ac:dyDescent="0.3">
      <c r="A141" s="2">
        <v>6</v>
      </c>
      <c r="C141" s="38" t="s">
        <v>59</v>
      </c>
      <c r="D141" s="42">
        <f>TRUNC(20139,-1)</f>
        <v>20130</v>
      </c>
      <c r="E141" s="63">
        <f t="shared" si="5"/>
        <v>66540</v>
      </c>
    </row>
    <row r="142" spans="1:7" x14ac:dyDescent="0.3">
      <c r="A142" s="2">
        <v>7</v>
      </c>
      <c r="C142" s="38" t="s">
        <v>58</v>
      </c>
      <c r="D142" s="42">
        <f>TRUNC(5636,-1)</f>
        <v>5630</v>
      </c>
      <c r="E142" s="63">
        <f t="shared" si="5"/>
        <v>18610</v>
      </c>
    </row>
    <row r="143" spans="1:7" x14ac:dyDescent="0.3">
      <c r="A143" s="2">
        <v>8</v>
      </c>
      <c r="C143" s="38" t="s">
        <v>62</v>
      </c>
      <c r="D143" s="42">
        <f>TRUNC(4956,-1)</f>
        <v>4950</v>
      </c>
      <c r="E143" s="63">
        <f t="shared" si="5"/>
        <v>16360</v>
      </c>
    </row>
    <row r="144" spans="1:7" x14ac:dyDescent="0.3">
      <c r="A144" s="2">
        <v>9</v>
      </c>
      <c r="C144" s="38" t="s">
        <v>63</v>
      </c>
      <c r="D144" s="42">
        <f>TRUNC(18647,-1)</f>
        <v>18640</v>
      </c>
      <c r="E144" s="63">
        <f t="shared" si="5"/>
        <v>61620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60430</v>
      </c>
      <c r="E146" s="39">
        <f>SUM(E136:E145)</f>
        <v>199740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TRUNC(16613+2703,-1)</f>
        <v>19310</v>
      </c>
      <c r="E149" s="62">
        <f>TRUNC(+D149*3.3058,-1)</f>
        <v>63830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TRUNC(7361,-1)</f>
        <v>7360</v>
      </c>
      <c r="E150" s="63">
        <f>TRUNC(+D150*3.3058,-1)</f>
        <v>24330</v>
      </c>
    </row>
    <row r="151" spans="1:7" x14ac:dyDescent="0.3">
      <c r="A151" s="2">
        <v>3</v>
      </c>
      <c r="C151" s="38" t="s">
        <v>50</v>
      </c>
      <c r="D151" s="42">
        <f>TRUNC(22757,-1)</f>
        <v>22750</v>
      </c>
      <c r="E151" s="63">
        <f>TRUNC(+D151*3.3058,-1)</f>
        <v>75200</v>
      </c>
    </row>
    <row r="152" spans="1:7" x14ac:dyDescent="0.3">
      <c r="A152" s="2">
        <v>4</v>
      </c>
      <c r="C152" s="38" t="s">
        <v>47</v>
      </c>
      <c r="D152" s="42">
        <f>TRUNC(1433+103+8011,-1)</f>
        <v>9540</v>
      </c>
      <c r="E152" s="63">
        <f>TRUNC(+D152*3.3058,-1)</f>
        <v>31530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TRUNC(53976,-1)</f>
        <v>53970</v>
      </c>
      <c r="E153" s="64">
        <f>TRUNC(+D153*3.3058,-1)</f>
        <v>178410</v>
      </c>
    </row>
    <row r="154" spans="1:7" x14ac:dyDescent="0.3">
      <c r="A154" s="2">
        <v>6</v>
      </c>
      <c r="C154" s="27" t="s">
        <v>112</v>
      </c>
      <c r="D154" s="39">
        <f>SUM(D149:D153)</f>
        <v>112930</v>
      </c>
      <c r="E154" s="39">
        <f>SUM(E149:E153)</f>
        <v>373300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TRUNC(3531,-1)</f>
        <v>3530</v>
      </c>
      <c r="E157" s="62">
        <f>TRUNC(+D157*3.3058,-1)</f>
        <v>11660</v>
      </c>
    </row>
    <row r="158" spans="1:7" x14ac:dyDescent="0.3">
      <c r="A158" s="2">
        <v>2</v>
      </c>
      <c r="C158" s="38" t="s">
        <v>52</v>
      </c>
      <c r="D158" s="42">
        <f>TRUNC(16996,-1)</f>
        <v>16990</v>
      </c>
      <c r="E158" s="63">
        <f>TRUNC(+D158*3.3058,-1)</f>
        <v>56160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f>TRUNC(48,-1)</f>
        <v>40</v>
      </c>
      <c r="E160" s="64">
        <f>TRUNC(+D160*3.3058,-1)</f>
        <v>130</v>
      </c>
    </row>
    <row r="161" spans="1:5" x14ac:dyDescent="0.3">
      <c r="A161" s="2">
        <v>5</v>
      </c>
      <c r="C161" s="27" t="s">
        <v>112</v>
      </c>
      <c r="D161" s="39">
        <f>SUM(D157:D160)</f>
        <v>20560</v>
      </c>
      <c r="E161" s="39">
        <f>SUM(E157:E160)</f>
        <v>67950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2020-12-08T02:22:22Z</dcterms:modified>
</cp:coreProperties>
</file>