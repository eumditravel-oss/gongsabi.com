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definedNames>
    <definedName name="_xlnm._FilterDatabase" localSheetId="1" hidden="1">'Pro #1'!$A$156:$F$161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4" i="4"/>
  <c r="D143" i="4"/>
  <c r="D142" i="4"/>
  <c r="D141" i="4"/>
  <c r="D139" i="4"/>
  <c r="D132" i="4"/>
  <c r="D131" i="4"/>
  <c r="D130" i="4"/>
  <c r="D125" i="4"/>
  <c r="D122" i="4"/>
  <c r="D118" i="4"/>
  <c r="D116" i="4"/>
  <c r="D114" i="4"/>
  <c r="D104" i="4"/>
  <c r="D103" i="4"/>
  <c r="D102" i="4"/>
  <c r="D100" i="4"/>
  <c r="D98" i="4"/>
  <c r="D94" i="4"/>
  <c r="D93" i="4"/>
  <c r="D92" i="4"/>
  <c r="D91" i="4"/>
  <c r="D90" i="4"/>
  <c r="D89" i="4"/>
  <c r="D73" i="4"/>
  <c r="D71" i="4"/>
  <c r="D70" i="4"/>
  <c r="D69" i="4"/>
  <c r="D63" i="4"/>
  <c r="D59" i="4"/>
  <c r="D58" i="4"/>
  <c r="D52" i="4"/>
  <c r="D50" i="4"/>
  <c r="D49" i="4"/>
  <c r="D48" i="4"/>
  <c r="D46" i="4"/>
  <c r="D45" i="4"/>
  <c r="D42" i="4"/>
  <c r="D43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<sst xmlns="http://schemas.openxmlformats.org/spreadsheetml/2006/main" count="392" uniqueCount="266">
  <si>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</si>
  <si>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</si>
  <si>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</si>
  <si>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</si>
  <si>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</si>
  <si>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</si>
  <si>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</si>
  <si>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</si>
  <si>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</si>
  <si>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</si>
  <si>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</si>
  <si>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</si>
  <si>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</si>
  <si>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</si>
  <si>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</si>
  <si>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</si>
  <si>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</si>
  <si>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</si>
  <si>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</si>
  <si>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</si>
  <si>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</si>
  <si>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</si>
  <si>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</si>
  <si>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</si>
  <si>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</si>
  <si>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</si>
  <si>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</si>
  <si>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</si>
  <si>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</si>
  <si>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</si>
  <si>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</si>
  <si>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</si>
  <si>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</si>
  <si>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</si>
  <si>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</si>
  <si>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</si>
  <si>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</si>
  <si>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</si>
  <si>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</si>
  <si>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</si>
  <si>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</si>
  <si>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</si>
  <si>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</si>
  <si>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</si>
  <si>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</si>
  <si>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</si>
  <si>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</si>
  <si>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</si>
  <si>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</si>
  <si>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</si>
  <si>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</si>
  <si>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</si>
  <si>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</si>
  <si>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</si>
  <si>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</si>
  <si>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</si>
  <si>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</si>
  <si>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</si>
  <si>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</si>
  <si>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</si>
  <si>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</si>
  <si>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</si>
  <si>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</si>
  <si>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</si>
  <si>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</si>
  <si>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</si>
  <si>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</si>
  <si>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</si>
  <si>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</si>
  <si>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</si>
  <si>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</si>
  <si>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</si>
  <si>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</si>
  <si>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</si>
  <si>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</si>
  <si>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</si>
  <si>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</si>
  <si>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</si>
  <si>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</si>
  <si>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</si>
  <si>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</si>
  <si>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</si>
  <si>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</si>
  <si>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</si>
  <si>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</si>
  <si>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</si>
  <si>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</si>
  <si>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</si>
  <si>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</si>
  <si>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</si>
  <si>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</si>
  <si>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</si>
  <si>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</si>
  <si>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</si>
  <si>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</si>
  <si>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</si>
  <si>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</si>
  <si>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</si>
  <si>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</si>
  <si>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</si>
  <si>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</si>
  <si>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</si>
  <si>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</si>
  <si>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</si>
  <si>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</si>
  <si>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</si>
  <si>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</si>
  <si>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</si>
  <si>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</si>
  <si>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</si>
  <si>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</si>
  <si>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</si>
  <si>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</si>
  <si>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</si>
  <si>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</si>
  <si>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</si>
  <si>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</si>
  <si>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</si>
  <si>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</si>
  <si>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</si>
  <si>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</si>
  <si>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</si>
  <si>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</si>
  <si>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</si>
  <si>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</si>
  <si>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</si>
  <si>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</si>
  <si>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</si>
  <si>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</si>
  <si>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</si>
  <si>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</si>
  <si>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</si>
  <si>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</si>
  <si>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</si>
  <si>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</si>
  <si>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</si>
  <si>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</si>
  <si>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</si>
  <si>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</si>
  <si>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</si>
  <si>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</si>
  <si>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</si>
  <si>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</si>
  <si>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</si>
  <si>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</si>
  <si>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</si>
  <si>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</si>
  <si>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</si>
  <si>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</si>
  <si>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</si>
  <si>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</si>
  <si>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</si>
  <si>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</si>
  <si>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</si>
  <si>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</si>
  <si>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</si>
  <si>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</si>
  <si>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</si>
  <si>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</si>
  <si>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</si>
  <si>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</si>
  <si>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</si>
  <si>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</si>
  <si>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</si>
  <si>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</si>
  <si>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</si>
  <si>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</si>
  <si>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</si>
  <si>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</si>
  <si>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</si>
  <si>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</si>
  <si>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</si>
  <si>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</si>
  <si>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</si>
  <si>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</si>
  <si>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</si>
  <si>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</si>
  <si>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</si>
  <si>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</si>
  <si>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</si>
  <si>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</si>
  <si>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</si>
  <si>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</si>
  <si>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</si>
  <si>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</si>
  <si>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</si>
  <si>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</si>
  <si>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</si>
  <si>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</si>
  <si>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</si>
  <si>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</si>
  <si>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</si>
  <si>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</si>
  <si>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</si>
  <si>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</si>
  <si>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</si>
  <si>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</si>
  <si>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</si>
  <si>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</si>
  <si>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</si>
  <si>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</si>
  <si>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</si>
  <si>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</si>
  <si>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</si>
  <si>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</si>
  <si>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</si>
  <si>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</si>
  <si>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</si>
  <si>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</si>
  <si>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</si>
  <si>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</si>
  <si>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</si>
  <si>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</si>
  <si>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</si>
  <si>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</si>
  <si>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</si>
  <si>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</si>
  <si>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</si>
  <si>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</si>
  <si>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</si>
  <si>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</si>
  <si>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</si>
  <si>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</si>
  <si>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</si>
  <si>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</si>
  <si>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</si>
  <si>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</si>
  <si>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</si>
  <si>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</si>
  <si>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</si>
  <si>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</si>
  <si>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</si>
  <si>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</si>
  <si>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</si>
  <si>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</si>
  <si>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</si>
  <si>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</si>
  <si>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</si>
  <si>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</si>
  <si>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</si>
  <si>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</si>
  <si>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</si>
  <si>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</si>
  <si>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</si>
  <si>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</si>
  <si>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</si>
  <si>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</si>
  <si>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</si>
  <si>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</si>
  <si>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</si>
  <si>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</si>
  <si>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</si>
  <si>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</si>
  <si>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</si>
  <si>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</si>
  <si>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</si>
  <si>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교육연구</t>
  </si>
  <si>
    <t>광주학강초 교사 재배치공사</t>
    <phoneticPr fontId="2" type="noConversion"/>
  </si>
  <si>
    <t>광주시</t>
  </si>
  <si>
    <t>기초공사, 해체및철거공사, 골재비및운반비, 품질시험비, 기타공사</t>
    <phoneticPr fontId="2" type="noConversion"/>
  </si>
  <si>
    <t>공조배관공사, 난방배관공사, 기타공사</t>
    <phoneticPr fontId="2" type="noConversion"/>
  </si>
  <si>
    <t>운반비, 기타공사</t>
    <phoneticPr fontId="2" type="noConversion"/>
  </si>
  <si>
    <t>CCTV설비공사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</si>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</sst>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8849.3799999999992</v>
      </c>
      <c r="D7" s="36">
        <f>+C7/3.3058</f>
        <v>2676.9254038356826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997510</v>
      </c>
      <c r="E25" s="59">
        <f t="shared" si="0"/>
        <v>3297560</v>
      </c>
    </row>
    <row r="26" spans="1:5" x14ac:dyDescent="0.3">
      <c r="B26" s="2">
        <v>3</v>
      </c>
      <c r="C26" s="35" t="s">
        <v>95</v>
      </c>
      <c r="D26" s="45">
        <f>+D66</f>
        <v>6200</v>
      </c>
      <c r="E26" s="59">
        <f t="shared" si="0"/>
        <v>20490</v>
      </c>
    </row>
    <row r="27" spans="1:5" x14ac:dyDescent="0.3">
      <c r="B27" s="2">
        <v>4</v>
      </c>
      <c r="C27" s="35" t="s">
        <v>96</v>
      </c>
      <c r="D27" s="45">
        <f>+D95</f>
        <v>154640</v>
      </c>
      <c r="E27" s="59">
        <f t="shared" si="0"/>
        <v>511200</v>
      </c>
    </row>
    <row r="28" spans="1:5" x14ac:dyDescent="0.3">
      <c r="B28" s="2">
        <v>5</v>
      </c>
      <c r="C28" s="35" t="s">
        <v>97</v>
      </c>
      <c r="D28" s="45">
        <f>+D119</f>
        <v>208710</v>
      </c>
      <c r="E28" s="59">
        <f t="shared" si="0"/>
        <v>689950</v>
      </c>
    </row>
    <row r="29" spans="1:5" x14ac:dyDescent="0.3">
      <c r="B29" s="2">
        <v>6</v>
      </c>
      <c r="C29" s="35" t="s">
        <v>98</v>
      </c>
      <c r="D29" s="45">
        <f>+D133</f>
        <v>80430</v>
      </c>
      <c r="E29" s="59">
        <f t="shared" si="0"/>
        <v>265880</v>
      </c>
    </row>
    <row r="30" spans="1:5" x14ac:dyDescent="0.3">
      <c r="B30" s="2">
        <v>7</v>
      </c>
      <c r="C30" s="35" t="s">
        <v>99</v>
      </c>
      <c r="D30" s="45">
        <f>+D146</f>
        <v>37580</v>
      </c>
      <c r="E30" s="59">
        <f t="shared" si="0"/>
        <v>124230</v>
      </c>
    </row>
    <row r="31" spans="1:5" x14ac:dyDescent="0.3">
      <c r="B31" s="2">
        <v>8</v>
      </c>
      <c r="C31" s="35" t="s">
        <v>100</v>
      </c>
      <c r="D31" s="45">
        <f>+D154</f>
        <v>63380</v>
      </c>
      <c r="E31" s="59">
        <f t="shared" si="0"/>
        <v>209520</v>
      </c>
    </row>
    <row r="32" spans="1:5" x14ac:dyDescent="0.3">
      <c r="B32" s="2">
        <v>9</v>
      </c>
      <c r="C32" s="35" t="s">
        <v>101</v>
      </c>
      <c r="D32" s="45">
        <f>+D161</f>
        <v>40320</v>
      </c>
      <c r="E32" s="59">
        <f t="shared" si="0"/>
        <v>133280</v>
      </c>
    </row>
    <row r="33" spans="1:7" x14ac:dyDescent="0.3">
      <c r="B33" s="2">
        <v>10</v>
      </c>
      <c r="C33" s="35" t="s">
        <v>155</v>
      </c>
      <c r="D33" s="53">
        <f>TRUNC(SUM(D24:D32)*0.275,-1)</f>
        <v>436910</v>
      </c>
      <c r="E33" s="60">
        <f t="shared" si="0"/>
        <v>1444330</v>
      </c>
    </row>
    <row r="34" spans="1:7" x14ac:dyDescent="0.3">
      <c r="C34" s="35" t="s">
        <v>112</v>
      </c>
      <c r="D34" s="44">
        <f>SUM(D24:D33)</f>
        <v>2025680</v>
      </c>
      <c r="E34" s="44">
        <f>SUM(E24:E33)</f>
        <v>6696440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TRUNC(59354,-1)</f>
        <v>59350</v>
      </c>
      <c r="E40" s="62">
        <f t="shared" ref="E40:E59" si="1">TRUNC(+D40*3.3058,-1)</f>
        <v>196190</v>
      </c>
    </row>
    <row r="41" spans="1:7" x14ac:dyDescent="0.3">
      <c r="A41" s="2">
        <v>2</v>
      </c>
      <c r="C41" s="38" t="s">
        <v>13</v>
      </c>
      <c r="D41" s="42">
        <f>TRUNC(177612,-1)</f>
        <v>177610</v>
      </c>
      <c r="E41" s="63">
        <f t="shared" si="1"/>
        <v>587140</v>
      </c>
    </row>
    <row r="42" spans="1:7" x14ac:dyDescent="0.3">
      <c r="A42" s="2">
        <v>3</v>
      </c>
      <c r="C42" s="38" t="s">
        <v>14</v>
      </c>
      <c r="D42" s="42">
        <f>TRUNC(9585,-1)</f>
        <v>9580</v>
      </c>
      <c r="E42" s="63">
        <f t="shared" si="1"/>
        <v>31660</v>
      </c>
    </row>
    <row r="43" spans="1:7" x14ac:dyDescent="0.3">
      <c r="A43" s="2">
        <v>4</v>
      </c>
      <c r="C43" s="38" t="s">
        <v>16</v>
      </c>
      <c r="D43" s="42">
        <f>TRUNC(44861,-1)</f>
        <v>44860</v>
      </c>
      <c r="E43" s="63">
        <f t="shared" si="1"/>
        <v>148290</v>
      </c>
    </row>
    <row r="44" spans="1:7" x14ac:dyDescent="0.3">
      <c r="A44" s="2">
        <v>5</v>
      </c>
      <c r="C44" s="38" t="s">
        <v>17</v>
      </c>
      <c r="D44" s="42">
        <v>22720</v>
      </c>
      <c r="E44" s="63">
        <f t="shared" si="1"/>
        <v>75100</v>
      </c>
    </row>
    <row r="45" spans="1:7" x14ac:dyDescent="0.3">
      <c r="A45" s="2">
        <v>6</v>
      </c>
      <c r="C45" s="38" t="s">
        <v>18</v>
      </c>
      <c r="D45" s="42">
        <f>TRUNC(5634,-1)</f>
        <v>5630</v>
      </c>
      <c r="E45" s="63">
        <f t="shared" si="1"/>
        <v>18610</v>
      </c>
    </row>
    <row r="46" spans="1:7" x14ac:dyDescent="0.3">
      <c r="A46" s="2">
        <v>7</v>
      </c>
      <c r="C46" s="38" t="s">
        <v>19</v>
      </c>
      <c r="D46" s="42">
        <f>TRUNC(62005,-1)</f>
        <v>62000</v>
      </c>
      <c r="E46" s="63">
        <f t="shared" si="1"/>
        <v>204950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TRUNC(45144,-1)</f>
        <v>45140</v>
      </c>
      <c r="E48" s="63">
        <f t="shared" si="1"/>
        <v>149220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TRUNC(31229,-1)</f>
        <v>31220</v>
      </c>
      <c r="E49" s="63">
        <f t="shared" si="1"/>
        <v>103200</v>
      </c>
    </row>
    <row r="50" spans="1:7" x14ac:dyDescent="0.3">
      <c r="A50" s="2">
        <v>11</v>
      </c>
      <c r="C50" s="38" t="s">
        <v>156</v>
      </c>
      <c r="D50" s="42">
        <f>TRUNC(51168,-1)</f>
        <v>51160</v>
      </c>
      <c r="E50" s="63">
        <f t="shared" si="1"/>
        <v>169120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TRUNC(9852,-1)</f>
        <v>9850</v>
      </c>
      <c r="E52" s="63">
        <f t="shared" si="1"/>
        <v>32560</v>
      </c>
    </row>
    <row r="53" spans="1:7" x14ac:dyDescent="0.3">
      <c r="A53" s="2">
        <v>14</v>
      </c>
      <c r="C53" s="38" t="s">
        <v>25</v>
      </c>
      <c r="D53" s="42">
        <v>96930</v>
      </c>
      <c r="E53" s="63">
        <f t="shared" si="1"/>
        <v>320430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TRUNC(8692+20926+6924+212+12203,-1)</f>
        <v>48950</v>
      </c>
      <c r="E58" s="63">
        <f t="shared" si="1"/>
        <v>161810</v>
      </c>
      <c r="F58" s="2" t="s">
        <v>259</v>
      </c>
    </row>
    <row r="59" spans="1:7" ht="17.25" thickBot="1" x14ac:dyDescent="0.35">
      <c r="A59" s="2">
        <v>20</v>
      </c>
      <c r="C59" s="38" t="s">
        <v>149</v>
      </c>
      <c r="D59" s="43">
        <f>TRUNC(332515,-1)</f>
        <v>332510</v>
      </c>
      <c r="E59" s="64">
        <f t="shared" si="1"/>
        <v>1099210</v>
      </c>
    </row>
    <row r="60" spans="1:7" x14ac:dyDescent="0.3">
      <c r="A60" s="2">
        <v>21</v>
      </c>
      <c r="C60" s="27" t="s">
        <v>112</v>
      </c>
      <c r="D60" s="39">
        <f>SUM(D40:D59)</f>
        <v>997510</v>
      </c>
      <c r="E60" s="39">
        <f>SUM(E40:E59)</f>
        <v>3297490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TRUNC(6208,-1)</f>
        <v>6200</v>
      </c>
      <c r="E63" s="62">
        <f>TRUNC(+D63*3.3058,-1)</f>
        <v>20490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6200</v>
      </c>
      <c r="E66" s="65">
        <f>SUM(E63:E65)</f>
        <v>20490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TRUNC(8153,-1)</f>
        <v>8150</v>
      </c>
      <c r="E69" s="62">
        <f t="shared" ref="E69:E94" si="2">TRUNC(+D69*3.3058,-1)</f>
        <v>26940</v>
      </c>
    </row>
    <row r="70" spans="1:7" ht="16.5" customHeight="1" x14ac:dyDescent="0.3">
      <c r="A70" s="2">
        <v>2</v>
      </c>
      <c r="C70" s="38" t="s">
        <v>31</v>
      </c>
      <c r="D70" s="42">
        <f>TRUNC(779,-1)</f>
        <v>770</v>
      </c>
      <c r="E70" s="63">
        <f t="shared" si="2"/>
        <v>2540</v>
      </c>
    </row>
    <row r="71" spans="1:7" x14ac:dyDescent="0.3">
      <c r="A71" s="2">
        <v>3</v>
      </c>
      <c r="C71" s="38" t="s">
        <v>32</v>
      </c>
      <c r="D71" s="42">
        <f>TRUNC(6612,-1)</f>
        <v>6610</v>
      </c>
      <c r="E71" s="63">
        <f t="shared" si="2"/>
        <v>21850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TRUNC(11613,-1)</f>
        <v>11610</v>
      </c>
      <c r="E73" s="63">
        <f t="shared" si="2"/>
        <v>38380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TRUNC(4972,-1)</f>
        <v>4970</v>
      </c>
      <c r="E89" s="63">
        <f t="shared" si="2"/>
        <v>16420</v>
      </c>
    </row>
    <row r="90" spans="1:7" x14ac:dyDescent="0.3">
      <c r="A90" s="2">
        <v>22</v>
      </c>
      <c r="C90" s="38" t="s">
        <v>36</v>
      </c>
      <c r="D90" s="42">
        <f>TRUNC(386,-1)</f>
        <v>380</v>
      </c>
      <c r="E90" s="63">
        <f t="shared" si="2"/>
        <v>1250</v>
      </c>
    </row>
    <row r="91" spans="1:7" x14ac:dyDescent="0.3">
      <c r="A91" s="2">
        <v>23</v>
      </c>
      <c r="C91" s="38" t="s">
        <v>37</v>
      </c>
      <c r="D91" s="42">
        <f>TRUNC(5068,-1)</f>
        <v>5060</v>
      </c>
      <c r="E91" s="63">
        <f t="shared" si="2"/>
        <v>16720</v>
      </c>
    </row>
    <row r="92" spans="1:7" x14ac:dyDescent="0.3">
      <c r="A92" s="2">
        <v>24</v>
      </c>
      <c r="C92" s="38" t="s">
        <v>38</v>
      </c>
      <c r="D92" s="42">
        <f>TRUNC(12595,-1)</f>
        <v>12590</v>
      </c>
      <c r="E92" s="63">
        <f t="shared" si="2"/>
        <v>41620</v>
      </c>
    </row>
    <row r="93" spans="1:7" x14ac:dyDescent="0.3">
      <c r="A93" s="2">
        <v>25</v>
      </c>
      <c r="C93" s="38" t="s">
        <v>149</v>
      </c>
      <c r="D93" s="42">
        <f>TRUNC(76958,-1)</f>
        <v>76950</v>
      </c>
      <c r="E93" s="63">
        <f t="shared" si="2"/>
        <v>254380</v>
      </c>
    </row>
    <row r="94" spans="1:7" ht="17.25" thickBot="1" x14ac:dyDescent="0.35">
      <c r="A94" s="2">
        <v>26</v>
      </c>
      <c r="C94" s="38" t="s">
        <v>47</v>
      </c>
      <c r="D94" s="43">
        <f>TRUNC(1839+1976+23742,-1)</f>
        <v>27550</v>
      </c>
      <c r="E94" s="64">
        <f t="shared" si="2"/>
        <v>91070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154640</v>
      </c>
      <c r="E95" s="39">
        <f>SUM(E69:E94)</f>
        <v>511170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TRUNC(27128,-1)</f>
        <v>27120</v>
      </c>
      <c r="E98" s="62">
        <f t="shared" ref="E98:E118" si="3">TRUNC(+D98*3.3058,-1)</f>
        <v>89650</v>
      </c>
    </row>
    <row r="99" spans="1:7" x14ac:dyDescent="0.3">
      <c r="A99" s="2">
        <v>2</v>
      </c>
      <c r="C99" s="38" t="s">
        <v>40</v>
      </c>
      <c r="D99" s="42">
        <v>1640</v>
      </c>
      <c r="E99" s="63">
        <f t="shared" si="3"/>
        <v>5420</v>
      </c>
    </row>
    <row r="100" spans="1:7" x14ac:dyDescent="0.3">
      <c r="A100" s="2">
        <v>3</v>
      </c>
      <c r="C100" s="38" t="s">
        <v>41</v>
      </c>
      <c r="D100" s="42">
        <f>TRUNC(39599,-1)</f>
        <v>39590</v>
      </c>
      <c r="E100" s="63">
        <f t="shared" si="3"/>
        <v>130870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TRUNC(16521,-1)</f>
        <v>16520</v>
      </c>
      <c r="E102" s="63">
        <f t="shared" si="3"/>
        <v>54610</v>
      </c>
    </row>
    <row r="103" spans="1:7" x14ac:dyDescent="0.3">
      <c r="A103" s="2">
        <v>6</v>
      </c>
      <c r="C103" s="38" t="s">
        <v>44</v>
      </c>
      <c r="D103" s="42">
        <f>TRUNC(7917,-1)</f>
        <v>7910</v>
      </c>
      <c r="E103" s="63">
        <f t="shared" si="3"/>
        <v>26140</v>
      </c>
    </row>
    <row r="104" spans="1:7" x14ac:dyDescent="0.3">
      <c r="A104" s="2">
        <v>7</v>
      </c>
      <c r="C104" s="38" t="s">
        <v>45</v>
      </c>
      <c r="D104" s="42">
        <f>TRUNC(874,-1)</f>
        <v>870</v>
      </c>
      <c r="E104" s="63">
        <f t="shared" si="3"/>
        <v>2870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TRUNC(5188,-1)</f>
        <v>5180</v>
      </c>
      <c r="E114" s="63">
        <f t="shared" si="3"/>
        <v>17120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TRUNC(2376,-1)</f>
        <v>2370</v>
      </c>
      <c r="E116" s="63">
        <f t="shared" si="3"/>
        <v>7830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v>104560</v>
      </c>
      <c r="E117" s="63">
        <f t="shared" si="3"/>
        <v>345650</v>
      </c>
    </row>
    <row r="118" spans="1:7" ht="17.25" thickBot="1" x14ac:dyDescent="0.35">
      <c r="A118" s="2">
        <v>21</v>
      </c>
      <c r="C118" s="38" t="s">
        <v>47</v>
      </c>
      <c r="D118" s="43">
        <f>TRUNC(2953,-1)</f>
        <v>2950</v>
      </c>
      <c r="E118" s="64">
        <f t="shared" si="3"/>
        <v>9750</v>
      </c>
    </row>
    <row r="119" spans="1:7" x14ac:dyDescent="0.3">
      <c r="A119" s="2">
        <v>22</v>
      </c>
      <c r="C119" s="27" t="s">
        <v>112</v>
      </c>
      <c r="D119" s="39">
        <f>SUM(D98:D118)</f>
        <v>208710</v>
      </c>
      <c r="E119" s="39">
        <f>SUM(E98:E118)</f>
        <v>689910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TRUNC(2025,-1)</f>
        <v>2020</v>
      </c>
      <c r="E122" s="62">
        <f t="shared" ref="E122:E132" si="4">TRUNC(+D122*3.3058,-1)</f>
        <v>6670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TRUNC(7176,-1)</f>
        <v>7170</v>
      </c>
      <c r="E125" s="63">
        <f t="shared" si="4"/>
        <v>23700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TRUNC(27367,-1)</f>
        <v>27360</v>
      </c>
      <c r="E130" s="63">
        <f t="shared" si="4"/>
        <v>90440</v>
      </c>
    </row>
    <row r="131" spans="1:7" x14ac:dyDescent="0.3">
      <c r="A131" s="2">
        <v>10</v>
      </c>
      <c r="C131" s="38" t="s">
        <v>149</v>
      </c>
      <c r="D131" s="42">
        <f>TRUNC(40835,-1)</f>
        <v>40830</v>
      </c>
      <c r="E131" s="63">
        <f t="shared" si="4"/>
        <v>134970</v>
      </c>
    </row>
    <row r="132" spans="1:7" ht="18" thickBot="1" x14ac:dyDescent="0.35">
      <c r="A132" s="2">
        <v>11</v>
      </c>
      <c r="C132" s="38" t="s">
        <v>47</v>
      </c>
      <c r="D132" s="43">
        <f>TRUNC(3051,-1)</f>
        <v>3050</v>
      </c>
      <c r="E132" s="64">
        <f t="shared" si="4"/>
        <v>10080</v>
      </c>
      <c r="F132" s="54" t="s">
        <v>262</v>
      </c>
    </row>
    <row r="133" spans="1:7" x14ac:dyDescent="0.3">
      <c r="A133" s="2">
        <v>12</v>
      </c>
      <c r="C133" s="27" t="s">
        <v>112</v>
      </c>
      <c r="D133" s="39">
        <f>SUM(D122:D132)</f>
        <v>80430</v>
      </c>
      <c r="E133" s="39">
        <f>SUM(E122:E132)</f>
        <v>265860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TRUNC(3723,-1)</f>
        <v>3720</v>
      </c>
      <c r="E139" s="63">
        <f t="shared" si="5"/>
        <v>12290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TRUNC(9656,-1)</f>
        <v>9650</v>
      </c>
      <c r="E141" s="63">
        <f t="shared" si="5"/>
        <v>31900</v>
      </c>
    </row>
    <row r="142" spans="1:7" x14ac:dyDescent="0.3">
      <c r="A142" s="2">
        <v>7</v>
      </c>
      <c r="C142" s="38" t="s">
        <v>58</v>
      </c>
      <c r="D142" s="42">
        <f>TRUNC(5077,-1)</f>
        <v>5070</v>
      </c>
      <c r="E142" s="63">
        <f t="shared" si="5"/>
        <v>16760</v>
      </c>
    </row>
    <row r="143" spans="1:7" x14ac:dyDescent="0.3">
      <c r="A143" s="2">
        <v>8</v>
      </c>
      <c r="C143" s="38" t="s">
        <v>62</v>
      </c>
      <c r="D143" s="42">
        <f>TRUNC(4213,-1)</f>
        <v>4210</v>
      </c>
      <c r="E143" s="63">
        <f t="shared" si="5"/>
        <v>13910</v>
      </c>
    </row>
    <row r="144" spans="1:7" x14ac:dyDescent="0.3">
      <c r="A144" s="2">
        <v>9</v>
      </c>
      <c r="C144" s="38" t="s">
        <v>63</v>
      </c>
      <c r="D144" s="42">
        <f>TRUNC(14936,-1)</f>
        <v>14930</v>
      </c>
      <c r="E144" s="63">
        <f t="shared" si="5"/>
        <v>49350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37580</v>
      </c>
      <c r="E146" s="39">
        <f>SUM(E136:E145)</f>
        <v>124210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TRUNC(13008+3076,-1)</f>
        <v>16080</v>
      </c>
      <c r="E149" s="62">
        <f>TRUNC(+D149*3.3058,-1)</f>
        <v>53150</v>
      </c>
    </row>
    <row r="150" spans="1:7" x14ac:dyDescent="0.3">
      <c r="A150" s="2">
        <v>2</v>
      </c>
      <c r="C150" s="38" t="s">
        <v>49</v>
      </c>
      <c r="D150" s="42">
        <f>TRUNC(14395,-1)</f>
        <v>14390</v>
      </c>
      <c r="E150" s="63">
        <f>TRUNC(+D150*3.3058,-1)</f>
        <v>47570</v>
      </c>
    </row>
    <row r="151" spans="1:7" x14ac:dyDescent="0.3">
      <c r="A151" s="2">
        <v>3</v>
      </c>
      <c r="C151" s="38" t="s">
        <v>50</v>
      </c>
      <c r="D151" s="42">
        <f>TRUNC(8675,-1)</f>
        <v>8670</v>
      </c>
      <c r="E151" s="63">
        <f>TRUNC(+D151*3.3058,-1)</f>
        <v>28660</v>
      </c>
    </row>
    <row r="152" spans="1:7" x14ac:dyDescent="0.3">
      <c r="A152" s="2">
        <v>4</v>
      </c>
      <c r="C152" s="38" t="s">
        <v>47</v>
      </c>
      <c r="D152" s="42">
        <f>TRUNC(337+23908,-1)</f>
        <v>24240</v>
      </c>
      <c r="E152" s="63">
        <f>TRUNC(+D152*3.3058,-1)</f>
        <v>80130</v>
      </c>
      <c r="F152" s="2" t="s">
        <v>261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63380</v>
      </c>
      <c r="E154" s="39">
        <f>SUM(E149:E153)</f>
        <v>209510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TRUNC(29633,-1)</f>
        <v>29630</v>
      </c>
      <c r="E157" s="62">
        <f>TRUNC(+D157*3.3058,-1)</f>
        <v>97950</v>
      </c>
    </row>
    <row r="158" spans="1:7" x14ac:dyDescent="0.3">
      <c r="A158" s="2">
        <v>2</v>
      </c>
      <c r="C158" s="38" t="s">
        <v>52</v>
      </c>
      <c r="D158" s="42">
        <f>TRUNC(8041,-1)</f>
        <v>8040</v>
      </c>
      <c r="E158" s="63">
        <f>TRUNC(+D158*3.3058,-1)</f>
        <v>26570</v>
      </c>
    </row>
    <row r="159" spans="1:7" x14ac:dyDescent="0.3">
      <c r="A159" s="2">
        <v>3</v>
      </c>
      <c r="C159" s="38" t="s">
        <v>47</v>
      </c>
      <c r="D159" s="42">
        <f>TRUNC(1883+776,-1)</f>
        <v>2650</v>
      </c>
      <c r="E159" s="63">
        <f>TRUNC(+D159*3.3058,-1)</f>
        <v>8760</v>
      </c>
      <c r="F159" s="2" t="s">
        <v>255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40320</v>
      </c>
      <c r="E161" s="39">
        <f>SUM(E157:E160)</f>
        <v>133280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2020-12-08T01:17:15Z</dcterms:modified>
</cp:coreProperties>
</file>