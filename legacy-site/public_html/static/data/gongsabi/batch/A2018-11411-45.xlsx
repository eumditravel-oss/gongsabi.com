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60" i="4" l="1"/>
  <c r="D153" i="4"/>
  <c r="D145" i="4"/>
  <c r="D131" i="4"/>
  <c r="D117" i="4"/>
  <c r="D9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75" i="4"/>
  <c r="D92" i="4"/>
  <c r="D91" i="4"/>
  <c r="D90" i="4"/>
  <c r="D89" i="4"/>
  <c r="D73" i="4"/>
  <c r="D72" i="4"/>
  <c r="D71" i="4"/>
  <c r="D70" i="4"/>
  <c r="D69" i="4"/>
  <c r="D100" i="4"/>
  <c r="D99" i="4"/>
  <c r="D114" i="4"/>
  <c r="D98" i="4"/>
  <c r="D116" i="4"/>
  <c r="D102" i="4"/>
  <c r="D103" i="4"/>
  <c r="D104" i="4"/>
  <c r="D105" i="4"/>
  <c r="D118" i="4"/>
  <c r="D128" i="4"/>
  <c r="D127" i="4"/>
  <c r="D132" i="4"/>
  <c r="D124" i="4"/>
  <c r="D125" i="4"/>
  <c r="D122" i="4"/>
  <c r="D130" i="4"/>
  <c r="D126" i="4"/>
  <c r="D144" i="4"/>
  <c r="D143" i="4"/>
  <c r="D139" i="4"/>
  <c r="D138" i="4"/>
  <c r="D141" i="4"/>
  <c r="D142" i="4"/>
  <c r="D140" i="4"/>
  <c r="D137" i="4"/>
  <c r="D63" i="4"/>
  <c r="D152" i="4"/>
  <c r="D150" i="4"/>
  <c r="D149" i="4"/>
  <c r="D159" i="4"/>
  <c r="D158" i="4"/>
  <c r="D15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95" i="4"/>
  <c r="E119" i="4"/>
  <c r="E133" i="4"/>
  <c r="E146" i="4"/>
  <c r="E154" i="4"/>
  <c r="D161" i="4"/>
  <c r="D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2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<sst xmlns="http://schemas.openxmlformats.org/spreadsheetml/2006/main" count="395" uniqueCount="270">
  <si>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</si>
  <si>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</si>
  <si>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</si>
  <si>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</si>
  <si>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</si>
  <si>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</si>
  <si>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</si>
  <si>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</si>
  <si>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</si>
  <si>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</si>
  <si>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</si>
  <si>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</si>
  <si>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</si>
  <si>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</si>
  <si>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</si>
  <si>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</si>
  <si>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</si>
  <si>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</si>
  <si>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</si>
  <si>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</si>
  <si>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</si>
  <si>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</si>
  <si>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</si>
  <si>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</si>
  <si>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</si>
  <si>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</si>
  <si>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</si>
  <si>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</si>
  <si>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</si>
  <si>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</si>
  <si>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</si>
  <si>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</si>
  <si>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</si>
  <si>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</si>
  <si>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</si>
  <si>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</si>
  <si>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</si>
  <si>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</si>
  <si>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</si>
  <si>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</si>
  <si>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</si>
  <si>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</si>
  <si>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</si>
  <si>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</si>
  <si>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</si>
  <si>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</si>
  <si>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</si>
  <si>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</si>
  <si>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</si>
  <si>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</si>
  <si>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</si>
  <si>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</si>
  <si>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</si>
  <si>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</si>
  <si>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</si>
  <si>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</si>
  <si>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</si>
  <si>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</si>
  <si>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</si>
  <si>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</si>
  <si>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</si>
  <si>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</si>
  <si>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</si>
  <si>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</si>
  <si>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</si>
  <si>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</si>
  <si>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</si>
  <si>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</si>
  <si>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</si>
  <si>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</si>
  <si>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</si>
  <si>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</si>
  <si>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</si>
  <si>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</si>
  <si>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</si>
  <si>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</si>
  <si>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</si>
  <si>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</si>
  <si>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</si>
  <si>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</si>
  <si>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</si>
  <si>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</si>
  <si>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</si>
  <si>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</si>
  <si>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</si>
  <si>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</si>
  <si>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</si>
  <si>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</si>
  <si>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</si>
  <si>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</si>
  <si>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</si>
  <si>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</si>
  <si>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</si>
  <si>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</si>
  <si>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</si>
  <si>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</si>
  <si>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</si>
  <si>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</si>
  <si>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</si>
  <si>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</si>
  <si>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</si>
  <si>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</si>
  <si>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</si>
  <si>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</si>
  <si>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</si>
  <si>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</si>
  <si>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</si>
  <si>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</si>
  <si>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</si>
  <si>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</si>
  <si>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</si>
  <si>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</si>
  <si>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</si>
  <si>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</si>
  <si>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</si>
  <si>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</si>
  <si>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</si>
  <si>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</si>
  <si>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</si>
  <si>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</si>
  <si>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</si>
  <si>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</si>
  <si>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</si>
  <si>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</si>
  <si>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</si>
  <si>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</si>
  <si>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</si>
  <si>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</si>
  <si>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</si>
  <si>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</si>
  <si>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</si>
  <si>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</si>
  <si>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</si>
  <si>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</si>
  <si>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</si>
  <si>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</si>
  <si>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</si>
  <si>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</si>
  <si>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</si>
  <si>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</si>
  <si>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</si>
  <si>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</si>
  <si>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</si>
  <si>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</si>
  <si>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</si>
  <si>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</si>
  <si>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</si>
  <si>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</si>
  <si>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</si>
  <si>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</si>
  <si>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</si>
  <si>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</si>
  <si>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</si>
  <si>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</si>
  <si>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</si>
  <si>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</si>
  <si>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</si>
  <si>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</si>
  <si>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</si>
  <si>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</si>
  <si>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</si>
  <si>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</si>
  <si>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</si>
  <si>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</si>
  <si>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</si>
  <si>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</si>
  <si>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</si>
  <si>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</si>
  <si>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</si>
  <si>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</si>
  <si>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</si>
  <si>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</si>
  <si>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</si>
  <si>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</si>
  <si>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</si>
  <si>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</si>
  <si>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</si>
  <si>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</si>
  <si>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</si>
  <si>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</si>
  <si>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</si>
  <si>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</si>
  <si>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</si>
  <si>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</si>
  <si>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</si>
  <si>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</si>
  <si>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</si>
  <si>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</si>
  <si>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</si>
  <si>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</si>
  <si>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</si>
  <si>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</si>
  <si>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</si>
  <si>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</si>
  <si>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</si>
  <si>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</si>
  <si>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</si>
  <si>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</si>
  <si>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</si>
  <si>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</si>
  <si>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</si>
  <si>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</si>
  <si>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</si>
  <si>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</si>
  <si>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</si>
  <si>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</si>
  <si>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</si>
  <si>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</si>
  <si>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</si>
  <si>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</si>
  <si>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</si>
  <si>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</si>
  <si>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</si>
  <si>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</si>
  <si>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</si>
  <si>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</si>
  <si>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</si>
  <si>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</si>
  <si>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</si>
  <si>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</si>
  <si>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</si>
  <si>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</si>
  <si>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</si>
  <si>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</si>
  <si>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</si>
  <si>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</si>
  <si>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</si>
  <si>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</si>
  <si>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</si>
  <si>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</si>
  <si>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</si>
  <si>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</si>
  <si>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</si>
  <si>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</si>
  <si>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</si>
  <si>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</si>
  <si>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</si>
  <si>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</si>
  <si>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</si>
  <si>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</si>
  <si>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</si>
  <si>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</si>
  <si>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</si>
  <si>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</si>
  <si>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</si>
  <si>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</si>
  <si>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</si>
  <si>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</si>
  <si>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화학물질안전원 신청사 및 교육훈련장 건립사업(건축공사)</t>
    <phoneticPr fontId="2" type="noConversion"/>
  </si>
  <si>
    <t>교육연구</t>
  </si>
  <si>
    <t>충청도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</si>
  <si>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</si>
  <si>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</si>
  <si>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</si>
  <si>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기초공사,골재비및운반비,품질시험비,기타공사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</si>
  <si>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</si>
  <si>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</si>
  <si>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</si>
  <si>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</si>
  <si>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옥외소화배관공사,펌프실배관공사,기타공사</t>
    <phoneticPr fontId="2" type="noConversion"/>
  </si>
  <si>
    <t>오수공사</t>
    <phoneticPr fontId="2" type="noConversion"/>
  </si>
  <si>
    <t>사급자재비,기타공사</t>
    <phoneticPr fontId="2" type="noConversion"/>
  </si>
  <si>
    <t>포장공사</t>
    <phoneticPr fontId="2" type="noConversion"/>
  </si>
  <si>
    <t>조경시설물</t>
    <phoneticPr fontId="2" type="noConversion"/>
  </si>
  <si>
    <t>원/ m2</t>
  </si>
  <si>
    <t>원 /평</t>
  </si>
  <si>
    <t>바닥난방공사, 난방배관공사,우수처리시설공사,기타공사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</si>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</sst>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12298.41</v>
      </c>
      <c r="D7" s="36">
        <f>+C7/3.3058</f>
        <v>3720.2522838647224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822370</v>
      </c>
      <c r="E25" s="59">
        <f t="shared" si="0"/>
        <v>2718590</v>
      </c>
    </row>
    <row r="26" spans="1:5" x14ac:dyDescent="0.3">
      <c r="B26" s="2">
        <v>3</v>
      </c>
      <c r="C26" s="35" t="s">
        <v>95</v>
      </c>
      <c r="D26" s="45">
        <f>+D66</f>
        <v>16060</v>
      </c>
      <c r="E26" s="59">
        <f t="shared" si="0"/>
        <v>53090</v>
      </c>
    </row>
    <row r="27" spans="1:5" x14ac:dyDescent="0.3">
      <c r="B27" s="2">
        <v>4</v>
      </c>
      <c r="C27" s="35" t="s">
        <v>96</v>
      </c>
      <c r="D27" s="45">
        <f>+D95</f>
        <v>358440</v>
      </c>
      <c r="E27" s="59">
        <f t="shared" si="0"/>
        <v>1184930</v>
      </c>
    </row>
    <row r="28" spans="1:5" x14ac:dyDescent="0.3">
      <c r="B28" s="2">
        <v>5</v>
      </c>
      <c r="C28" s="35" t="s">
        <v>97</v>
      </c>
      <c r="D28" s="45">
        <f>+D119</f>
        <v>205050</v>
      </c>
      <c r="E28" s="59">
        <f t="shared" si="0"/>
        <v>677850</v>
      </c>
    </row>
    <row r="29" spans="1:5" x14ac:dyDescent="0.3">
      <c r="B29" s="2">
        <v>6</v>
      </c>
      <c r="C29" s="35" t="s">
        <v>98</v>
      </c>
      <c r="D29" s="45">
        <f>+D133</f>
        <v>128430</v>
      </c>
      <c r="E29" s="59">
        <f t="shared" si="0"/>
        <v>424560</v>
      </c>
    </row>
    <row r="30" spans="1:5" x14ac:dyDescent="0.3">
      <c r="B30" s="2">
        <v>7</v>
      </c>
      <c r="C30" s="35" t="s">
        <v>99</v>
      </c>
      <c r="D30" s="45">
        <f>+D146</f>
        <v>46420</v>
      </c>
      <c r="E30" s="59">
        <f t="shared" si="0"/>
        <v>153450</v>
      </c>
    </row>
    <row r="31" spans="1:5" x14ac:dyDescent="0.3">
      <c r="B31" s="2">
        <v>8</v>
      </c>
      <c r="C31" s="35" t="s">
        <v>100</v>
      </c>
      <c r="D31" s="45">
        <f>+D154</f>
        <v>93670</v>
      </c>
      <c r="E31" s="59">
        <f t="shared" si="0"/>
        <v>309650</v>
      </c>
    </row>
    <row r="32" spans="1:5" x14ac:dyDescent="0.3">
      <c r="B32" s="2">
        <v>9</v>
      </c>
      <c r="C32" s="35" t="s">
        <v>101</v>
      </c>
      <c r="D32" s="45">
        <f>+D161</f>
        <v>70230</v>
      </c>
      <c r="E32" s="59">
        <f t="shared" si="0"/>
        <v>232160</v>
      </c>
    </row>
    <row r="33" spans="1:7" x14ac:dyDescent="0.3">
      <c r="B33" s="2">
        <v>10</v>
      </c>
      <c r="C33" s="35" t="s">
        <v>154</v>
      </c>
      <c r="D33" s="53">
        <f>TRUNC(SUM(D24:D32)*0.275,-1)</f>
        <v>478680</v>
      </c>
      <c r="E33" s="60">
        <f t="shared" si="0"/>
        <v>1582420</v>
      </c>
    </row>
    <row r="34" spans="1:7" x14ac:dyDescent="0.3">
      <c r="C34" s="35" t="s">
        <v>112</v>
      </c>
      <c r="D34" s="44">
        <f>SUM(D24:D33)</f>
        <v>2219350</v>
      </c>
      <c r="E34" s="44">
        <f>SUM(E24:E33)</f>
        <v>7336700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TRUNC(44698,-1)</f>
        <v>44690</v>
      </c>
      <c r="E40" s="62">
        <f t="shared" ref="E40:E59" si="1">TRUNC(+D40*3.3058,-1)</f>
        <v>147730</v>
      </c>
    </row>
    <row r="41" spans="1:7" x14ac:dyDescent="0.3">
      <c r="A41" s="2">
        <v>2</v>
      </c>
      <c r="C41" s="38" t="s">
        <v>13</v>
      </c>
      <c r="D41" s="42">
        <f>TRUNC(119626,-1)</f>
        <v>119620</v>
      </c>
      <c r="E41" s="63">
        <f t="shared" si="1"/>
        <v>395430</v>
      </c>
    </row>
    <row r="42" spans="1:7" x14ac:dyDescent="0.3">
      <c r="A42" s="2">
        <v>3</v>
      </c>
      <c r="C42" s="38" t="s">
        <v>14</v>
      </c>
      <c r="D42" s="42">
        <f>TRUNC(7489,-1)</f>
        <v>7480</v>
      </c>
      <c r="E42" s="63">
        <f t="shared" si="1"/>
        <v>24720</v>
      </c>
    </row>
    <row r="43" spans="1:7" x14ac:dyDescent="0.3">
      <c r="A43" s="2">
        <v>4</v>
      </c>
      <c r="C43" s="38" t="s">
        <v>16</v>
      </c>
      <c r="D43" s="42">
        <f>TRUNC(15879,-1)</f>
        <v>15870</v>
      </c>
      <c r="E43" s="63">
        <f t="shared" si="1"/>
        <v>52460</v>
      </c>
    </row>
    <row r="44" spans="1:7" x14ac:dyDescent="0.3">
      <c r="A44" s="2">
        <v>5</v>
      </c>
      <c r="C44" s="38" t="s">
        <v>17</v>
      </c>
      <c r="D44" s="42">
        <f>TRUNC(28653,-1)</f>
        <v>28650</v>
      </c>
      <c r="E44" s="63">
        <f t="shared" si="1"/>
        <v>94710</v>
      </c>
    </row>
    <row r="45" spans="1:7" x14ac:dyDescent="0.3">
      <c r="A45" s="2">
        <v>6</v>
      </c>
      <c r="C45" s="38" t="s">
        <v>18</v>
      </c>
      <c r="D45" s="42">
        <f>TRUNC(10278,-1)</f>
        <v>10270</v>
      </c>
      <c r="E45" s="63">
        <f t="shared" si="1"/>
        <v>33950</v>
      </c>
    </row>
    <row r="46" spans="1:7" x14ac:dyDescent="0.3">
      <c r="A46" s="2">
        <v>7</v>
      </c>
      <c r="C46" s="38" t="s">
        <v>19</v>
      </c>
      <c r="D46" s="42">
        <f>TRUNC(41666,-1)</f>
        <v>41660</v>
      </c>
      <c r="E46" s="63">
        <f t="shared" si="1"/>
        <v>137710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TRUNC(33851,-1)</f>
        <v>33850</v>
      </c>
      <c r="E48" s="63">
        <f t="shared" si="1"/>
        <v>111900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TRUNC(18524,-1)</f>
        <v>18520</v>
      </c>
      <c r="E49" s="63">
        <f t="shared" si="1"/>
        <v>61220</v>
      </c>
    </row>
    <row r="50" spans="1:7" x14ac:dyDescent="0.3">
      <c r="A50" s="2">
        <v>11</v>
      </c>
      <c r="C50" s="38" t="s">
        <v>155</v>
      </c>
      <c r="D50" s="42">
        <f>TRUNC(45131,-1)</f>
        <v>45130</v>
      </c>
      <c r="E50" s="63">
        <f t="shared" si="1"/>
        <v>149190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TRUNC(19483,-1)</f>
        <v>19480</v>
      </c>
      <c r="E52" s="63">
        <f t="shared" si="1"/>
        <v>64390</v>
      </c>
    </row>
    <row r="53" spans="1:7" x14ac:dyDescent="0.3">
      <c r="A53" s="2">
        <v>14</v>
      </c>
      <c r="C53" s="38" t="s">
        <v>25</v>
      </c>
      <c r="D53" s="42">
        <f>TRUNC(79171,-1)</f>
        <v>79170</v>
      </c>
      <c r="E53" s="63">
        <f t="shared" si="1"/>
        <v>261720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TRUNC(24379+6594+433+24608,-1)</f>
        <v>56010</v>
      </c>
      <c r="E58" s="63">
        <f t="shared" si="1"/>
        <v>185150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TRUNC(301976,-1)</f>
        <v>301970</v>
      </c>
      <c r="E59" s="64">
        <f t="shared" si="1"/>
        <v>998250</v>
      </c>
    </row>
    <row r="60" spans="1:7" x14ac:dyDescent="0.3">
      <c r="A60" s="2">
        <v>21</v>
      </c>
      <c r="C60" s="27" t="s">
        <v>112</v>
      </c>
      <c r="D60" s="39">
        <f>SUM(D40:D59)</f>
        <v>822370</v>
      </c>
      <c r="E60" s="39">
        <f>SUM(E40:E59)</f>
        <v>2718530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TRUNC(16068,-1)</f>
        <v>16060</v>
      </c>
      <c r="E63" s="62">
        <f>TRUNC(+D63*3.3058,-1)</f>
        <v>53090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16060</v>
      </c>
      <c r="E66" s="65">
        <f>SUM(E63:E65)</f>
        <v>53090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TRUNC(11081,-1)</f>
        <v>11080</v>
      </c>
      <c r="E69" s="62">
        <f t="shared" ref="E69:E94" si="2">TRUNC(+D69*3.3058,-1)</f>
        <v>36620</v>
      </c>
    </row>
    <row r="70" spans="1:7" ht="16.5" customHeight="1" x14ac:dyDescent="0.3">
      <c r="A70" s="2">
        <v>2</v>
      </c>
      <c r="C70" s="38" t="s">
        <v>31</v>
      </c>
      <c r="D70" s="42">
        <f>TRUNC(4044,-1)</f>
        <v>4040</v>
      </c>
      <c r="E70" s="63">
        <f t="shared" si="2"/>
        <v>13350</v>
      </c>
    </row>
    <row r="71" spans="1:7" x14ac:dyDescent="0.3">
      <c r="A71" s="2">
        <v>3</v>
      </c>
      <c r="C71" s="38" t="s">
        <v>32</v>
      </c>
      <c r="D71" s="42">
        <f>TRUNC(5128,-1)</f>
        <v>5120</v>
      </c>
      <c r="E71" s="63">
        <f t="shared" si="2"/>
        <v>16920</v>
      </c>
    </row>
    <row r="72" spans="1:7" x14ac:dyDescent="0.3">
      <c r="A72" s="2">
        <v>4</v>
      </c>
      <c r="C72" s="38" t="s">
        <v>33</v>
      </c>
      <c r="D72" s="42">
        <f>TRUNC(1700,-1)</f>
        <v>1700</v>
      </c>
      <c r="E72" s="63">
        <f t="shared" si="2"/>
        <v>5610</v>
      </c>
    </row>
    <row r="73" spans="1:7" x14ac:dyDescent="0.3">
      <c r="A73" s="2">
        <v>5</v>
      </c>
      <c r="C73" s="38" t="s">
        <v>34</v>
      </c>
      <c r="D73" s="42">
        <f>TRUNC(9736,-1)</f>
        <v>9730</v>
      </c>
      <c r="E73" s="63">
        <f t="shared" si="2"/>
        <v>32160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TRUNC(2047,-1)</f>
        <v>2040</v>
      </c>
      <c r="E75" s="63">
        <f t="shared" si="2"/>
        <v>6740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TRUNC(7859,-1)</f>
        <v>7850</v>
      </c>
      <c r="E89" s="63">
        <f t="shared" si="2"/>
        <v>25950</v>
      </c>
    </row>
    <row r="90" spans="1:7" x14ac:dyDescent="0.3">
      <c r="A90" s="2">
        <v>22</v>
      </c>
      <c r="C90" s="38" t="s">
        <v>36</v>
      </c>
      <c r="D90" s="42">
        <f>TRUNC(1545,-1)</f>
        <v>1540</v>
      </c>
      <c r="E90" s="63">
        <f t="shared" si="2"/>
        <v>5090</v>
      </c>
    </row>
    <row r="91" spans="1:7" x14ac:dyDescent="0.3">
      <c r="A91" s="2">
        <v>23</v>
      </c>
      <c r="C91" s="38" t="s">
        <v>37</v>
      </c>
      <c r="D91" s="42">
        <f>TRUNC(20542,-1)</f>
        <v>20540</v>
      </c>
      <c r="E91" s="63">
        <f t="shared" si="2"/>
        <v>67900</v>
      </c>
    </row>
    <row r="92" spans="1:7" x14ac:dyDescent="0.3">
      <c r="A92" s="2">
        <v>24</v>
      </c>
      <c r="C92" s="38" t="s">
        <v>38</v>
      </c>
      <c r="D92" s="42">
        <f>TRUNC(20968,-1)</f>
        <v>20960</v>
      </c>
      <c r="E92" s="63">
        <f t="shared" si="2"/>
        <v>69280</v>
      </c>
    </row>
    <row r="93" spans="1:7" x14ac:dyDescent="0.3">
      <c r="A93" s="2">
        <v>25</v>
      </c>
      <c r="C93" s="38" t="s">
        <v>148</v>
      </c>
      <c r="D93" s="42">
        <f>TRUNC(238327,-1)</f>
        <v>238320</v>
      </c>
      <c r="E93" s="63">
        <f t="shared" si="2"/>
        <v>787830</v>
      </c>
    </row>
    <row r="94" spans="1:7" ht="17.25" thickBot="1" x14ac:dyDescent="0.35">
      <c r="A94" s="2">
        <v>26</v>
      </c>
      <c r="C94" s="38" t="s">
        <v>47</v>
      </c>
      <c r="D94" s="43">
        <f>TRUNC(518+4194+6659+24153,-1)</f>
        <v>35520</v>
      </c>
      <c r="E94" s="64">
        <f t="shared" si="2"/>
        <v>117420</v>
      </c>
      <c r="F94" s="2" t="s">
        <v>266</v>
      </c>
    </row>
    <row r="95" spans="1:7" x14ac:dyDescent="0.3">
      <c r="A95" s="2">
        <v>27</v>
      </c>
      <c r="C95" s="27" t="s">
        <v>112</v>
      </c>
      <c r="D95" s="39">
        <f>SUM(D69:D94)</f>
        <v>358440</v>
      </c>
      <c r="E95" s="39">
        <f>SUM(E69:E94)</f>
        <v>1184870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TRUNC(20331,-1)</f>
        <v>20330</v>
      </c>
      <c r="E98" s="62">
        <f t="shared" ref="E98:E118" si="3">TRUNC(+D98*3.3058,-1)</f>
        <v>67200</v>
      </c>
    </row>
    <row r="99" spans="1:7" x14ac:dyDescent="0.3">
      <c r="A99" s="2">
        <v>2</v>
      </c>
      <c r="C99" s="38" t="s">
        <v>40</v>
      </c>
      <c r="D99" s="42">
        <f>TRUNC(8333,-1)</f>
        <v>8330</v>
      </c>
      <c r="E99" s="63">
        <f t="shared" si="3"/>
        <v>27530</v>
      </c>
    </row>
    <row r="100" spans="1:7" x14ac:dyDescent="0.3">
      <c r="A100" s="2">
        <v>3</v>
      </c>
      <c r="C100" s="38" t="s">
        <v>41</v>
      </c>
      <c r="D100" s="42">
        <f>TRUNC(34838,-1)</f>
        <v>34830</v>
      </c>
      <c r="E100" s="63">
        <f t="shared" si="3"/>
        <v>115140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TRUNC(16204,-1)</f>
        <v>16200</v>
      </c>
      <c r="E102" s="63">
        <f t="shared" si="3"/>
        <v>53550</v>
      </c>
    </row>
    <row r="103" spans="1:7" x14ac:dyDescent="0.3">
      <c r="A103" s="2">
        <v>6</v>
      </c>
      <c r="C103" s="38" t="s">
        <v>44</v>
      </c>
      <c r="D103" s="42">
        <f>TRUNC(6532,-1)</f>
        <v>6530</v>
      </c>
      <c r="E103" s="63">
        <f t="shared" si="3"/>
        <v>21580</v>
      </c>
    </row>
    <row r="104" spans="1:7" x14ac:dyDescent="0.3">
      <c r="A104" s="2">
        <v>7</v>
      </c>
      <c r="C104" s="38" t="s">
        <v>45</v>
      </c>
      <c r="D104" s="42">
        <f>TRUNC(5596,-1)</f>
        <v>5590</v>
      </c>
      <c r="E104" s="63">
        <f t="shared" si="3"/>
        <v>18470</v>
      </c>
    </row>
    <row r="105" spans="1:7" x14ac:dyDescent="0.3">
      <c r="A105" s="2">
        <v>8</v>
      </c>
      <c r="C105" s="38" t="s">
        <v>46</v>
      </c>
      <c r="D105" s="42">
        <f>TRUNC(4106,-1)</f>
        <v>4100</v>
      </c>
      <c r="E105" s="63">
        <f t="shared" si="3"/>
        <v>13550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TRUNC(3856,-1)</f>
        <v>3850</v>
      </c>
      <c r="E114" s="63">
        <f t="shared" si="3"/>
        <v>12720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TRUNC(4830,-1)</f>
        <v>4830</v>
      </c>
      <c r="E116" s="63">
        <f t="shared" si="3"/>
        <v>15960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TRUNC(100242,-1)</f>
        <v>100240</v>
      </c>
      <c r="E117" s="63">
        <f t="shared" si="3"/>
        <v>331370</v>
      </c>
    </row>
    <row r="118" spans="1:7" ht="17.25" thickBot="1" x14ac:dyDescent="0.35">
      <c r="A118" s="2">
        <v>21</v>
      </c>
      <c r="C118" s="38" t="s">
        <v>47</v>
      </c>
      <c r="D118" s="43">
        <f>TRUNC(229,-1)</f>
        <v>220</v>
      </c>
      <c r="E118" s="64">
        <f t="shared" si="3"/>
        <v>720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205050</v>
      </c>
      <c r="E119" s="39">
        <f>SUM(E98:E118)</f>
        <v>677790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TRUNC(6346,-1)</f>
        <v>6340</v>
      </c>
      <c r="E122" s="62">
        <f t="shared" ref="E122:E132" si="4">TRUNC(+D122*3.3058,-1)</f>
        <v>20950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TRUNC(2185,-1)</f>
        <v>2180</v>
      </c>
      <c r="E124" s="63">
        <f t="shared" si="4"/>
        <v>7200</v>
      </c>
    </row>
    <row r="125" spans="1:7" x14ac:dyDescent="0.3">
      <c r="A125" s="2">
        <v>4</v>
      </c>
      <c r="C125" s="38" t="s">
        <v>138</v>
      </c>
      <c r="D125" s="42">
        <f>TRUNC(8263,-1)</f>
        <v>8260</v>
      </c>
      <c r="E125" s="63">
        <f t="shared" si="4"/>
        <v>27300</v>
      </c>
    </row>
    <row r="126" spans="1:7" x14ac:dyDescent="0.3">
      <c r="A126" s="2">
        <v>5</v>
      </c>
      <c r="C126" s="38" t="s">
        <v>53</v>
      </c>
      <c r="D126" s="42">
        <f>TRUNC(7065,-1)</f>
        <v>7060</v>
      </c>
      <c r="E126" s="63">
        <f t="shared" si="4"/>
        <v>23330</v>
      </c>
    </row>
    <row r="127" spans="1:7" x14ac:dyDescent="0.3">
      <c r="A127" s="2">
        <v>6</v>
      </c>
      <c r="C127" s="38" t="s">
        <v>56</v>
      </c>
      <c r="D127" s="42">
        <f>TRUNC(6342,-1)</f>
        <v>6340</v>
      </c>
      <c r="E127" s="63">
        <f t="shared" si="4"/>
        <v>20950</v>
      </c>
    </row>
    <row r="128" spans="1:7" x14ac:dyDescent="0.3">
      <c r="A128" s="2">
        <v>7</v>
      </c>
      <c r="C128" s="38" t="s">
        <v>46</v>
      </c>
      <c r="D128" s="42">
        <f>TRUNC(7627,-1)</f>
        <v>7620</v>
      </c>
      <c r="E128" s="63">
        <f t="shared" si="4"/>
        <v>25190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TRUNC(22397,-1)</f>
        <v>22390</v>
      </c>
      <c r="E130" s="63">
        <f t="shared" si="4"/>
        <v>74010</v>
      </c>
    </row>
    <row r="131" spans="1:7" x14ac:dyDescent="0.3">
      <c r="A131" s="2">
        <v>10</v>
      </c>
      <c r="C131" s="38" t="s">
        <v>148</v>
      </c>
      <c r="D131" s="42">
        <f>TRUNC(66713,-1)</f>
        <v>66710</v>
      </c>
      <c r="E131" s="63">
        <f t="shared" si="4"/>
        <v>220520</v>
      </c>
    </row>
    <row r="132" spans="1:7" ht="18" thickBot="1" x14ac:dyDescent="0.35">
      <c r="A132" s="2">
        <v>11</v>
      </c>
      <c r="C132" s="38" t="s">
        <v>47</v>
      </c>
      <c r="D132" s="43">
        <f>TRUNC(1308+229,-1)</f>
        <v>1530</v>
      </c>
      <c r="E132" s="64">
        <f t="shared" si="4"/>
        <v>5050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128430</v>
      </c>
      <c r="E133" s="39">
        <f>SUM(E122:E132)</f>
        <v>424500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TRUNC(126+1601+428,-1)</f>
        <v>2150</v>
      </c>
      <c r="E137" s="63">
        <f t="shared" si="5"/>
        <v>7100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TRUNC(8017,-1)</f>
        <v>8010</v>
      </c>
      <c r="E138" s="63">
        <f t="shared" si="5"/>
        <v>26470</v>
      </c>
    </row>
    <row r="139" spans="1:7" x14ac:dyDescent="0.3">
      <c r="A139" s="2">
        <v>4</v>
      </c>
      <c r="C139" s="38" t="s">
        <v>61</v>
      </c>
      <c r="D139" s="42">
        <f>TRUNC(1290,-1)</f>
        <v>1290</v>
      </c>
      <c r="E139" s="63">
        <f t="shared" si="5"/>
        <v>4260</v>
      </c>
    </row>
    <row r="140" spans="1:7" x14ac:dyDescent="0.3">
      <c r="A140" s="2">
        <v>5</v>
      </c>
      <c r="C140" s="38" t="s">
        <v>57</v>
      </c>
      <c r="D140" s="42">
        <f>TRUNC(899,-1)</f>
        <v>890</v>
      </c>
      <c r="E140" s="63">
        <f t="shared" si="5"/>
        <v>2940</v>
      </c>
    </row>
    <row r="141" spans="1:7" x14ac:dyDescent="0.3">
      <c r="A141" s="2">
        <v>6</v>
      </c>
      <c r="C141" s="38" t="s">
        <v>59</v>
      </c>
      <c r="D141" s="42">
        <f>TRUNC(7208,-1)</f>
        <v>7200</v>
      </c>
      <c r="E141" s="63">
        <f t="shared" si="5"/>
        <v>23800</v>
      </c>
    </row>
    <row r="142" spans="1:7" x14ac:dyDescent="0.3">
      <c r="A142" s="2">
        <v>7</v>
      </c>
      <c r="C142" s="38" t="s">
        <v>58</v>
      </c>
      <c r="D142" s="42">
        <f>TRUNC(3364,-1)</f>
        <v>3360</v>
      </c>
      <c r="E142" s="63">
        <f t="shared" si="5"/>
        <v>11100</v>
      </c>
    </row>
    <row r="143" spans="1:7" x14ac:dyDescent="0.3">
      <c r="A143" s="2">
        <v>8</v>
      </c>
      <c r="C143" s="38" t="s">
        <v>62</v>
      </c>
      <c r="D143" s="42">
        <f>TRUNC(5572,-1)</f>
        <v>5570</v>
      </c>
      <c r="E143" s="63">
        <f t="shared" si="5"/>
        <v>18410</v>
      </c>
    </row>
    <row r="144" spans="1:7" x14ac:dyDescent="0.3">
      <c r="A144" s="2">
        <v>9</v>
      </c>
      <c r="C144" s="38" t="s">
        <v>63</v>
      </c>
      <c r="D144" s="42">
        <f>TRUNC(14508,-1)</f>
        <v>14500</v>
      </c>
      <c r="E144" s="63">
        <f t="shared" si="5"/>
        <v>47930</v>
      </c>
    </row>
    <row r="145" spans="1:7" ht="17.25" thickBot="1" x14ac:dyDescent="0.35">
      <c r="A145" s="2">
        <v>10</v>
      </c>
      <c r="C145" s="38" t="s">
        <v>148</v>
      </c>
      <c r="D145" s="43">
        <f>TRUNC(3453,-1)</f>
        <v>3450</v>
      </c>
      <c r="E145" s="64">
        <f t="shared" si="5"/>
        <v>11400</v>
      </c>
    </row>
    <row r="146" spans="1:7" x14ac:dyDescent="0.3">
      <c r="A146" s="2">
        <v>11</v>
      </c>
      <c r="C146" s="27" t="s">
        <v>112</v>
      </c>
      <c r="D146" s="39">
        <f>SUM(D136:D145)</f>
        <v>46420</v>
      </c>
      <c r="E146" s="39">
        <f>SUM(E136:E145)</f>
        <v>153410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TRUNC(9786,-1)</f>
        <v>9780</v>
      </c>
      <c r="E149" s="62">
        <f>TRUNC(+D149*3.3058,-1)</f>
        <v>32330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TRUNC(7904,-1)</f>
        <v>7900</v>
      </c>
      <c r="E150" s="63">
        <f>TRUNC(+D150*3.3058,-1)</f>
        <v>26110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TRUNC(13036+15432,-1)</f>
        <v>28460</v>
      </c>
      <c r="E152" s="63">
        <f>TRUNC(+D152*3.3058,-1)</f>
        <v>94080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TRUNC(47536,-1)</f>
        <v>47530</v>
      </c>
      <c r="E153" s="64">
        <f>TRUNC(+D153*3.3058,-1)</f>
        <v>157120</v>
      </c>
    </row>
    <row r="154" spans="1:7" x14ac:dyDescent="0.3">
      <c r="A154" s="2">
        <v>6</v>
      </c>
      <c r="C154" s="27" t="s">
        <v>112</v>
      </c>
      <c r="D154" s="39">
        <f>SUM(D149:D153)</f>
        <v>93670</v>
      </c>
      <c r="E154" s="39">
        <f>SUM(E149:E153)</f>
        <v>309640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TRUNC(43721,-1)</f>
        <v>43720</v>
      </c>
      <c r="E157" s="62">
        <f>TRUNC(+D157*3.3058,-1)</f>
        <v>144520</v>
      </c>
    </row>
    <row r="158" spans="1:7" x14ac:dyDescent="0.3">
      <c r="A158" s="2">
        <v>2</v>
      </c>
      <c r="C158" s="38" t="s">
        <v>52</v>
      </c>
      <c r="D158" s="42">
        <f>TRUNC(9970,-1)</f>
        <v>9970</v>
      </c>
      <c r="E158" s="63">
        <f>TRUNC(+D158*3.3058,-1)</f>
        <v>32950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TRUNC(2482,-1)</f>
        <v>2480</v>
      </c>
      <c r="E159" s="63">
        <f>TRUNC(+D159*3.3058,-1)</f>
        <v>8190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TRUNC(14062,-1)</f>
        <v>14060</v>
      </c>
      <c r="E160" s="64">
        <f>TRUNC(+D160*3.3058,-1)</f>
        <v>46470</v>
      </c>
    </row>
    <row r="161" spans="1:5" x14ac:dyDescent="0.3">
      <c r="A161" s="2">
        <v>5</v>
      </c>
      <c r="C161" s="27" t="s">
        <v>112</v>
      </c>
      <c r="D161" s="39">
        <f>SUM(D157:D160)</f>
        <v>70230</v>
      </c>
      <c r="E161" s="39">
        <f>SUM(E157:E160)</f>
        <v>232130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2020-12-08T03:59:15Z</dcterms:modified>
</cp:coreProperties>
</file>