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59" i="4"/>
  <c r="E158" i="4"/>
  <c r="E157" i="4"/>
  <c r="E153" i="4"/>
  <c r="E145" i="4"/>
  <c r="E140" i="4"/>
  <c r="E138" i="4"/>
  <c r="E136" i="4"/>
  <c r="E129" i="4"/>
  <c r="E127" i="4"/>
  <c r="E124" i="4"/>
  <c r="E123" i="4"/>
  <c r="E122" i="4"/>
  <c r="E116" i="4"/>
  <c r="E113" i="4"/>
  <c r="E112" i="4"/>
  <c r="E111" i="4"/>
  <c r="E110" i="4"/>
  <c r="E109" i="4"/>
  <c r="E108" i="4"/>
  <c r="E107" i="4"/>
  <c r="E106" i="4"/>
  <c r="E94" i="4"/>
  <c r="E93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65" i="4"/>
  <c r="E64" i="4"/>
  <c r="E57" i="4"/>
  <c r="E56" i="4"/>
  <c r="E55" i="4"/>
  <c r="E54" i="4"/>
  <c r="E51" i="4"/>
  <c r="E47" i="4"/>
  <c r="E37" i="4"/>
  <c r="E161" i="4" l="1"/>
  <c r="D92" i="4"/>
  <c r="E92" i="4" s="1"/>
  <c r="D91" i="4"/>
  <c r="E91" i="4" s="1"/>
  <c r="D89" i="4"/>
  <c r="E89" i="4" s="1"/>
  <c r="D72" i="4"/>
  <c r="E72" i="4" s="1"/>
  <c r="D71" i="4"/>
  <c r="E71" i="4" s="1"/>
  <c r="D70" i="4"/>
  <c r="E70" i="4" s="1"/>
  <c r="D59" i="4"/>
  <c r="E59" i="4" s="1"/>
  <c r="D115" i="4"/>
  <c r="E115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E119" i="4" s="1"/>
  <c r="D98" i="4"/>
  <c r="E98" i="4" s="1"/>
  <c r="D118" i="4"/>
  <c r="E118" i="4" s="1"/>
  <c r="D117" i="4"/>
  <c r="E117" i="4" s="1"/>
  <c r="D131" i="4"/>
  <c r="E131" i="4" s="1"/>
  <c r="D130" i="4"/>
  <c r="E130" i="4" s="1"/>
  <c r="D128" i="4"/>
  <c r="E128" i="4" s="1"/>
  <c r="D126" i="4"/>
  <c r="E126" i="4" s="1"/>
  <c r="D125" i="4"/>
  <c r="E125" i="4" s="1"/>
  <c r="E133" i="4" s="1"/>
  <c r="D142" i="4"/>
  <c r="E142" i="4" s="1"/>
  <c r="D141" i="4"/>
  <c r="E141" i="4" s="1"/>
  <c r="D139" i="4"/>
  <c r="E139" i="4" s="1"/>
  <c r="E146" i="4" s="1"/>
  <c r="D143" i="4"/>
  <c r="E143" i="4" s="1"/>
  <c r="D144" i="4"/>
  <c r="E144" i="4" s="1"/>
  <c r="D152" i="4"/>
  <c r="E152" i="4" s="1"/>
  <c r="D149" i="4"/>
  <c r="E149" i="4" s="1"/>
  <c r="D151" i="4"/>
  <c r="E151" i="4" s="1"/>
  <c r="D150" i="4"/>
  <c r="E150" i="4" s="1"/>
  <c r="D137" i="4"/>
  <c r="E137" i="4" s="1"/>
  <c r="D132" i="4"/>
  <c r="E132" i="4" s="1"/>
  <c r="D69" i="4"/>
  <c r="E69" i="4" s="1"/>
  <c r="E95" i="4" s="1"/>
  <c r="D63" i="4"/>
  <c r="E63" i="4" s="1"/>
  <c r="E66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58" i="4"/>
  <c r="E58" i="4" s="1"/>
  <c r="E60" i="4" l="1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E34" i="4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<sst xmlns="http://schemas.openxmlformats.org/spreadsheetml/2006/main" count="391" uniqueCount="266">
  <si>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</si>
  <si>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</si>
  <si>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</si>
  <si>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</si>
  <si>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</si>
  <si>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</si>
  <si>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</si>
  <si>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</si>
  <si>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</si>
  <si>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</si>
  <si>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</si>
  <si>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</si>
  <si>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</si>
  <si>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</si>
  <si>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</si>
  <si>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</si>
  <si>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</si>
  <si>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</si>
  <si>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</si>
  <si>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</si>
  <si>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</si>
  <si>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</si>
  <si>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</si>
  <si>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</si>
  <si>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</si>
  <si>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</si>
  <si>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</si>
  <si>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</si>
  <si>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</si>
  <si>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</si>
  <si>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</si>
  <si>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</si>
  <si>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</si>
  <si>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</si>
  <si>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</si>
  <si>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</si>
  <si>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</si>
  <si>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</si>
  <si>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</si>
  <si>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</si>
  <si>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</si>
  <si>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</si>
  <si>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</si>
  <si>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</si>
  <si>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</si>
  <si>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</si>
  <si>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</si>
  <si>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</si>
  <si>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</si>
  <si>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</si>
  <si>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</si>
  <si>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</si>
  <si>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</si>
  <si>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</si>
  <si>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</si>
  <si>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</si>
  <si>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</si>
  <si>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</si>
  <si>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</si>
  <si>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</si>
  <si>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</si>
  <si>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</si>
  <si>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</si>
  <si>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</si>
  <si>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</si>
  <si>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</si>
  <si>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</si>
  <si>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</si>
  <si>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</si>
  <si>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</si>
  <si>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</si>
  <si>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</si>
  <si>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</si>
  <si>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</si>
  <si>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</si>
  <si>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</si>
  <si>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</si>
  <si>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</si>
  <si>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</si>
  <si>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</si>
  <si>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</si>
  <si>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</si>
  <si>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</si>
  <si>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</si>
  <si>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</si>
  <si>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</si>
  <si>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</si>
  <si>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</si>
  <si>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</si>
  <si>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</si>
  <si>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</si>
  <si>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</si>
  <si>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</si>
  <si>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</si>
  <si>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</si>
  <si>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</si>
  <si>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</si>
  <si>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</si>
  <si>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</si>
  <si>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</si>
  <si>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</si>
  <si>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</si>
  <si>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</si>
  <si>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</si>
  <si>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</si>
  <si>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</si>
  <si>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</si>
  <si>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</si>
  <si>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</si>
  <si>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</si>
  <si>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</si>
  <si>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</si>
  <si>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</si>
  <si>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</si>
  <si>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</si>
  <si>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</si>
  <si>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</si>
  <si>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</si>
  <si>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</si>
  <si>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</si>
  <si>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</si>
  <si>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</si>
  <si>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</si>
  <si>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</si>
  <si>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</si>
  <si>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</si>
  <si>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</si>
  <si>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</si>
  <si>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</si>
  <si>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</si>
  <si>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</si>
  <si>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</si>
  <si>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</si>
  <si>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</si>
  <si>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</si>
  <si>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</si>
  <si>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</si>
  <si>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</si>
  <si>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</si>
  <si>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</si>
  <si>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</si>
  <si>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</si>
  <si>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</si>
  <si>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</si>
  <si>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</si>
  <si>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</si>
  <si>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</si>
  <si>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</si>
  <si>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</si>
  <si>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</si>
  <si>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</si>
  <si>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</si>
  <si>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</si>
  <si>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</si>
  <si>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</si>
  <si>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</si>
  <si>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</si>
  <si>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</si>
  <si>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</si>
  <si>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</si>
  <si>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</si>
  <si>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</si>
  <si>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</si>
  <si>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</si>
  <si>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</si>
  <si>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</si>
  <si>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</si>
  <si>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</si>
  <si>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</si>
  <si>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</si>
  <si>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</si>
  <si>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</si>
  <si>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</si>
  <si>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</si>
  <si>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</si>
  <si>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</si>
  <si>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</si>
  <si>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</si>
  <si>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</si>
  <si>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</si>
  <si>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</si>
  <si>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</si>
  <si>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</si>
  <si>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</si>
  <si>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</si>
  <si>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</si>
  <si>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</si>
  <si>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</si>
  <si>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</si>
  <si>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</si>
  <si>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</si>
  <si>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</si>
  <si>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</si>
  <si>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</si>
  <si>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</si>
  <si>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</si>
  <si>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</si>
  <si>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</si>
  <si>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</si>
  <si>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</si>
  <si>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</si>
  <si>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</si>
  <si>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</si>
  <si>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</si>
  <si>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</si>
  <si>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</si>
  <si>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</si>
  <si>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</si>
  <si>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</si>
  <si>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</si>
  <si>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</si>
  <si>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</si>
  <si>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</si>
  <si>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</si>
  <si>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</si>
  <si>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</si>
  <si>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</si>
  <si>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</si>
  <si>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</si>
  <si>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</si>
  <si>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</si>
  <si>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</si>
  <si>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</si>
  <si>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</si>
  <si>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</si>
  <si>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</si>
  <si>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</si>
  <si>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</si>
  <si>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</si>
  <si>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</si>
  <si>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</si>
  <si>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</si>
  <si>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</si>
  <si>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</si>
  <si>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</si>
  <si>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</si>
  <si>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</si>
  <si>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</si>
  <si>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</si>
  <si>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</si>
  <si>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</si>
  <si>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</si>
  <si>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</si>
  <si>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</si>
  <si>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</si>
  <si>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</si>
  <si>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</si>
  <si>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</si>
  <si>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</si>
  <si>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</si>
  <si>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대구삼영초등학교 및 (가칭)금호2유치원 신축공사(장기계속)</t>
    <phoneticPr fontId="2" type="noConversion"/>
  </si>
  <si>
    <t>교육연구</t>
  </si>
  <si>
    <t>창호및유리공사</t>
    <phoneticPr fontId="2" type="noConversion"/>
  </si>
  <si>
    <t>기초공사,골재비및운반비,기타공사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</si>
  <si>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</si>
  <si>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</si>
  <si>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CCTV설비공사,기타공사</t>
    <phoneticPr fontId="2" type="noConversion"/>
  </si>
  <si>
    <t>펌프실배관공사,기타공사</t>
    <phoneticPr fontId="2" type="noConversion"/>
  </si>
  <si>
    <t>운반비,기타공사</t>
    <phoneticPr fontId="2" type="noConversion"/>
  </si>
  <si>
    <t>대구시</t>
  </si>
  <si>
    <t>원/ m2</t>
  </si>
  <si>
    <t>원 /평</t>
  </si>
  <si>
    <t>바닥난방공사, 난방배관공사,기타공사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</si>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</sst>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251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16318.79</v>
      </c>
      <c r="D7" s="36">
        <f>+C7/3.3058</f>
        <v>4936.4117611470747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948570</v>
      </c>
      <c r="E25" s="59">
        <f t="shared" si="0"/>
        <v>3135780</v>
      </c>
    </row>
    <row r="26" spans="1:5" x14ac:dyDescent="0.3">
      <c r="B26" s="2">
        <v>3</v>
      </c>
      <c r="C26" s="35" t="s">
        <v>95</v>
      </c>
      <c r="D26" s="45">
        <f>+D66</f>
        <v>14580</v>
      </c>
      <c r="E26" s="59">
        <f t="shared" si="0"/>
        <v>48190</v>
      </c>
    </row>
    <row r="27" spans="1:5" x14ac:dyDescent="0.3">
      <c r="B27" s="2">
        <v>4</v>
      </c>
      <c r="C27" s="35" t="s">
        <v>96</v>
      </c>
      <c r="D27" s="45">
        <f>+D95</f>
        <v>79330</v>
      </c>
      <c r="E27" s="59">
        <f t="shared" si="0"/>
        <v>262240</v>
      </c>
    </row>
    <row r="28" spans="1:5" x14ac:dyDescent="0.3">
      <c r="B28" s="2">
        <v>5</v>
      </c>
      <c r="C28" s="35" t="s">
        <v>97</v>
      </c>
      <c r="D28" s="45">
        <f>+D119</f>
        <v>187040</v>
      </c>
      <c r="E28" s="59">
        <f t="shared" si="0"/>
        <v>618310</v>
      </c>
    </row>
    <row r="29" spans="1:5" x14ac:dyDescent="0.3">
      <c r="B29" s="2">
        <v>6</v>
      </c>
      <c r="C29" s="35" t="s">
        <v>98</v>
      </c>
      <c r="D29" s="45">
        <f>+D133</f>
        <v>54500</v>
      </c>
      <c r="E29" s="59">
        <f t="shared" si="0"/>
        <v>180160</v>
      </c>
    </row>
    <row r="30" spans="1:5" x14ac:dyDescent="0.3">
      <c r="B30" s="2">
        <v>7</v>
      </c>
      <c r="C30" s="35" t="s">
        <v>99</v>
      </c>
      <c r="D30" s="45">
        <f>+D146</f>
        <v>51650</v>
      </c>
      <c r="E30" s="59">
        <f t="shared" si="0"/>
        <v>170740</v>
      </c>
    </row>
    <row r="31" spans="1:5" x14ac:dyDescent="0.3">
      <c r="B31" s="2">
        <v>8</v>
      </c>
      <c r="C31" s="35" t="s">
        <v>100</v>
      </c>
      <c r="D31" s="45">
        <f>+D154</f>
        <v>39650</v>
      </c>
      <c r="E31" s="59">
        <f t="shared" si="0"/>
        <v>131070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378210</v>
      </c>
      <c r="E33" s="60">
        <f t="shared" si="0"/>
        <v>1250280</v>
      </c>
    </row>
    <row r="34" spans="1:7" x14ac:dyDescent="0.3">
      <c r="C34" s="35" t="s">
        <v>112</v>
      </c>
      <c r="D34" s="44">
        <f>SUM(D24:D33)</f>
        <v>1753530</v>
      </c>
      <c r="E34" s="44">
        <f>SUM(E24:E33)</f>
        <v>5796770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TRUNC(45834,-1)</f>
        <v>45830</v>
      </c>
      <c r="E40" s="62">
        <f t="shared" ref="E40:E59" si="1">TRUNC(+D40*3.3058,-1)</f>
        <v>151500</v>
      </c>
    </row>
    <row r="41" spans="1:7" x14ac:dyDescent="0.3">
      <c r="A41" s="2">
        <v>2</v>
      </c>
      <c r="C41" s="38" t="s">
        <v>13</v>
      </c>
      <c r="D41" s="42">
        <f>TRUNC(184236,-1)</f>
        <v>184230</v>
      </c>
      <c r="E41" s="63">
        <f t="shared" si="1"/>
        <v>609020</v>
      </c>
    </row>
    <row r="42" spans="1:7" x14ac:dyDescent="0.3">
      <c r="A42" s="2">
        <v>3</v>
      </c>
      <c r="C42" s="38" t="s">
        <v>14</v>
      </c>
      <c r="D42" s="42">
        <f>TRUNC(13222,-1)</f>
        <v>13220</v>
      </c>
      <c r="E42" s="63">
        <f t="shared" si="1"/>
        <v>43700</v>
      </c>
    </row>
    <row r="43" spans="1:7" x14ac:dyDescent="0.3">
      <c r="A43" s="2">
        <v>4</v>
      </c>
      <c r="C43" s="38" t="s">
        <v>16</v>
      </c>
      <c r="D43" s="42">
        <f>TRUNC(38329,-1)</f>
        <v>38320</v>
      </c>
      <c r="E43" s="63">
        <f t="shared" si="1"/>
        <v>126670</v>
      </c>
    </row>
    <row r="44" spans="1:7" x14ac:dyDescent="0.3">
      <c r="A44" s="2">
        <v>5</v>
      </c>
      <c r="C44" s="38" t="s">
        <v>17</v>
      </c>
      <c r="D44" s="42">
        <f>TRUNC(22479,-1)</f>
        <v>22470</v>
      </c>
      <c r="E44" s="63">
        <f t="shared" si="1"/>
        <v>74280</v>
      </c>
    </row>
    <row r="45" spans="1:7" x14ac:dyDescent="0.3">
      <c r="A45" s="2">
        <v>6</v>
      </c>
      <c r="C45" s="38" t="s">
        <v>18</v>
      </c>
      <c r="D45" s="42">
        <f>TRUNC(9312,-1)</f>
        <v>9310</v>
      </c>
      <c r="E45" s="63">
        <f t="shared" si="1"/>
        <v>30770</v>
      </c>
    </row>
    <row r="46" spans="1:7" x14ac:dyDescent="0.3">
      <c r="A46" s="2">
        <v>7</v>
      </c>
      <c r="C46" s="38" t="s">
        <v>19</v>
      </c>
      <c r="D46" s="42">
        <f>TRUNC(46811,-1)</f>
        <v>46810</v>
      </c>
      <c r="E46" s="63">
        <f t="shared" si="1"/>
        <v>154740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TRUNC(50870,-1)</f>
        <v>50870</v>
      </c>
      <c r="E48" s="63">
        <f t="shared" si="1"/>
        <v>168160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TRUNC(18460,-1)</f>
        <v>18460</v>
      </c>
      <c r="E49" s="63">
        <f t="shared" si="1"/>
        <v>61020</v>
      </c>
    </row>
    <row r="50" spans="1:7" x14ac:dyDescent="0.3">
      <c r="A50" s="2">
        <v>11</v>
      </c>
      <c r="C50" s="38" t="s">
        <v>155</v>
      </c>
      <c r="D50" s="42">
        <f>TRUNC(51483,-1)</f>
        <v>51480</v>
      </c>
      <c r="E50" s="63">
        <f t="shared" si="1"/>
        <v>170180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TRUNC(10069,-1)</f>
        <v>10060</v>
      </c>
      <c r="E52" s="63">
        <f t="shared" si="1"/>
        <v>33250</v>
      </c>
    </row>
    <row r="53" spans="1:7" x14ac:dyDescent="0.3">
      <c r="A53" s="2">
        <v>14</v>
      </c>
      <c r="C53" s="38" t="s">
        <v>25</v>
      </c>
      <c r="D53" s="42">
        <f>TRUNC(81997,-1)</f>
        <v>81990</v>
      </c>
      <c r="E53" s="63">
        <f t="shared" si="1"/>
        <v>271040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TRUNC(20680+4167+10177,-1)</f>
        <v>35020</v>
      </c>
      <c r="E58" s="63">
        <f t="shared" si="1"/>
        <v>115760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TRUNC(340507,-1)</f>
        <v>340500</v>
      </c>
      <c r="E59" s="64">
        <f t="shared" si="1"/>
        <v>1125620</v>
      </c>
    </row>
    <row r="60" spans="1:7" x14ac:dyDescent="0.3">
      <c r="A60" s="2">
        <v>21</v>
      </c>
      <c r="C60" s="27" t="s">
        <v>112</v>
      </c>
      <c r="D60" s="39">
        <f>SUM(D40:D59)</f>
        <v>948570</v>
      </c>
      <c r="E60" s="39">
        <f>SUM(E40:E59)</f>
        <v>3135710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TRUNC(14583,-1)</f>
        <v>14580</v>
      </c>
      <c r="E63" s="62">
        <f>TRUNC(+D63*3.3058,-1)</f>
        <v>48190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14580</v>
      </c>
      <c r="E66" s="65">
        <f>SUM(E63:E65)</f>
        <v>48190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TRUNC(7694,-1)</f>
        <v>7690</v>
      </c>
      <c r="E69" s="62">
        <f t="shared" ref="E69:E94" si="2">TRUNC(+D69*3.3058,-1)</f>
        <v>25420</v>
      </c>
    </row>
    <row r="70" spans="1:7" ht="16.5" customHeight="1" x14ac:dyDescent="0.3">
      <c r="A70" s="2">
        <v>2</v>
      </c>
      <c r="C70" s="38" t="s">
        <v>31</v>
      </c>
      <c r="D70" s="42">
        <f>TRUNC(1364,-1)</f>
        <v>1360</v>
      </c>
      <c r="E70" s="63">
        <f t="shared" si="2"/>
        <v>4490</v>
      </c>
    </row>
    <row r="71" spans="1:7" x14ac:dyDescent="0.3">
      <c r="A71" s="2">
        <v>3</v>
      </c>
      <c r="C71" s="38" t="s">
        <v>32</v>
      </c>
      <c r="D71" s="42">
        <f>TRUNC(6161,-1)</f>
        <v>6160</v>
      </c>
      <c r="E71" s="63">
        <f t="shared" si="2"/>
        <v>20360</v>
      </c>
    </row>
    <row r="72" spans="1:7" x14ac:dyDescent="0.3">
      <c r="A72" s="2">
        <v>4</v>
      </c>
      <c r="C72" s="38" t="s">
        <v>33</v>
      </c>
      <c r="D72" s="42">
        <f>TRUNC(6077,-1)</f>
        <v>6070</v>
      </c>
      <c r="E72" s="63">
        <f t="shared" si="2"/>
        <v>20060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TRUNC(28202,-1)</f>
        <v>28200</v>
      </c>
      <c r="E89" s="63">
        <f t="shared" si="2"/>
        <v>93220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TRUNC(9058,-1)</f>
        <v>9050</v>
      </c>
      <c r="E91" s="63">
        <f t="shared" si="2"/>
        <v>29910</v>
      </c>
    </row>
    <row r="92" spans="1:7" x14ac:dyDescent="0.3">
      <c r="A92" s="2">
        <v>24</v>
      </c>
      <c r="C92" s="38" t="s">
        <v>38</v>
      </c>
      <c r="D92" s="42">
        <f>TRUNC(15375,-1)</f>
        <v>15370</v>
      </c>
      <c r="E92" s="63">
        <f t="shared" si="2"/>
        <v>50810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TRUNC(590+541+4306,-1)</f>
        <v>5430</v>
      </c>
      <c r="E94" s="64">
        <f t="shared" si="2"/>
        <v>17950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79330</v>
      </c>
      <c r="E95" s="39">
        <f>SUM(E69:E94)</f>
        <v>262220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TRUNC(9111,-1)</f>
        <v>9110</v>
      </c>
      <c r="E98" s="62">
        <f t="shared" ref="E98:E118" si="3">TRUNC(+D98*3.3058,-1)</f>
        <v>30110</v>
      </c>
    </row>
    <row r="99" spans="1:7" x14ac:dyDescent="0.3">
      <c r="A99" s="2">
        <v>2</v>
      </c>
      <c r="C99" s="38" t="s">
        <v>40</v>
      </c>
      <c r="D99" s="42">
        <f>TRUNC(2237,-1)</f>
        <v>2230</v>
      </c>
      <c r="E99" s="63">
        <f t="shared" si="3"/>
        <v>7370</v>
      </c>
    </row>
    <row r="100" spans="1:7" x14ac:dyDescent="0.3">
      <c r="A100" s="2">
        <v>3</v>
      </c>
      <c r="C100" s="38" t="s">
        <v>41</v>
      </c>
      <c r="D100" s="42">
        <f>TRUNC(27893,-1)</f>
        <v>27890</v>
      </c>
      <c r="E100" s="63">
        <f t="shared" si="3"/>
        <v>92190</v>
      </c>
    </row>
    <row r="101" spans="1:7" x14ac:dyDescent="0.3">
      <c r="A101" s="2">
        <v>4</v>
      </c>
      <c r="C101" s="38" t="s">
        <v>42</v>
      </c>
      <c r="D101" s="42">
        <f>TRUNC(2088,-1)</f>
        <v>2080</v>
      </c>
      <c r="E101" s="63">
        <f t="shared" si="3"/>
        <v>6870</v>
      </c>
    </row>
    <row r="102" spans="1:7" x14ac:dyDescent="0.3">
      <c r="A102" s="2">
        <v>5</v>
      </c>
      <c r="C102" s="38" t="s">
        <v>43</v>
      </c>
      <c r="D102" s="42">
        <f>TRUNC(11845,-1)</f>
        <v>11840</v>
      </c>
      <c r="E102" s="63">
        <f t="shared" si="3"/>
        <v>39140</v>
      </c>
    </row>
    <row r="103" spans="1:7" x14ac:dyDescent="0.3">
      <c r="A103" s="2">
        <v>6</v>
      </c>
      <c r="C103" s="38" t="s">
        <v>44</v>
      </c>
      <c r="D103" s="42">
        <f>TRUNC(8908,-1)</f>
        <v>8900</v>
      </c>
      <c r="E103" s="63">
        <f t="shared" si="3"/>
        <v>29420</v>
      </c>
    </row>
    <row r="104" spans="1:7" x14ac:dyDescent="0.3">
      <c r="A104" s="2">
        <v>7</v>
      </c>
      <c r="C104" s="38" t="s">
        <v>45</v>
      </c>
      <c r="D104" s="42">
        <f>TRUNC(4507,-1)</f>
        <v>4500</v>
      </c>
      <c r="E104" s="63">
        <f t="shared" si="3"/>
        <v>14870</v>
      </c>
    </row>
    <row r="105" spans="1:7" x14ac:dyDescent="0.3">
      <c r="A105" s="2">
        <v>8</v>
      </c>
      <c r="C105" s="38" t="s">
        <v>46</v>
      </c>
      <c r="D105" s="42">
        <f>TRUNC(3017,-1)</f>
        <v>3010</v>
      </c>
      <c r="E105" s="63">
        <f t="shared" si="3"/>
        <v>9950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TRUNC(3310,-1)</f>
        <v>3310</v>
      </c>
      <c r="E114" s="63">
        <f t="shared" si="3"/>
        <v>10940</v>
      </c>
    </row>
    <row r="115" spans="1:7" x14ac:dyDescent="0.3">
      <c r="A115" s="2">
        <v>18</v>
      </c>
      <c r="C115" s="38" t="s">
        <v>116</v>
      </c>
      <c r="D115" s="42">
        <f>TRUNC(2374,-1)</f>
        <v>2370</v>
      </c>
      <c r="E115" s="63">
        <f t="shared" si="3"/>
        <v>7830</v>
      </c>
      <c r="F115" s="2" t="s">
        <v>254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TRUNC(104276,-1)</f>
        <v>104270</v>
      </c>
      <c r="E117" s="63">
        <f t="shared" si="3"/>
        <v>344690</v>
      </c>
    </row>
    <row r="118" spans="1:7" ht="17.25" thickBot="1" x14ac:dyDescent="0.35">
      <c r="A118" s="2">
        <v>21</v>
      </c>
      <c r="C118" s="38" t="s">
        <v>47</v>
      </c>
      <c r="D118" s="43">
        <f>TRUNC(7531,-1)</f>
        <v>7530</v>
      </c>
      <c r="E118" s="64">
        <f t="shared" si="3"/>
        <v>24890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187040</v>
      </c>
      <c r="E119" s="39">
        <f>SUM(E98:E118)</f>
        <v>618270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TRUNC(10408,-1)</f>
        <v>10400</v>
      </c>
      <c r="E125" s="63">
        <f t="shared" si="4"/>
        <v>34380</v>
      </c>
    </row>
    <row r="126" spans="1:7" x14ac:dyDescent="0.3">
      <c r="A126" s="2">
        <v>5</v>
      </c>
      <c r="C126" s="38" t="s">
        <v>53</v>
      </c>
      <c r="D126" s="42">
        <f>TRUNC(1331,-1)</f>
        <v>1330</v>
      </c>
      <c r="E126" s="63">
        <f t="shared" si="4"/>
        <v>4390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TRUNC(4717,-1)</f>
        <v>4710</v>
      </c>
      <c r="E128" s="63">
        <f t="shared" si="4"/>
        <v>15570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TRUNC(9077,-1)</f>
        <v>9070</v>
      </c>
      <c r="E130" s="63">
        <f t="shared" si="4"/>
        <v>29980</v>
      </c>
    </row>
    <row r="131" spans="1:7" x14ac:dyDescent="0.3">
      <c r="A131" s="2">
        <v>10</v>
      </c>
      <c r="C131" s="38" t="s">
        <v>148</v>
      </c>
      <c r="D131" s="42">
        <f>TRUNC(25258,-1)</f>
        <v>25250</v>
      </c>
      <c r="E131" s="63">
        <f t="shared" si="4"/>
        <v>83470</v>
      </c>
    </row>
    <row r="132" spans="1:7" ht="18" thickBot="1" x14ac:dyDescent="0.35">
      <c r="A132" s="2">
        <v>11</v>
      </c>
      <c r="C132" s="38" t="s">
        <v>47</v>
      </c>
      <c r="D132" s="43">
        <f>TRUNC(2237+1506,-1)</f>
        <v>3740</v>
      </c>
      <c r="E132" s="64">
        <f t="shared" si="4"/>
        <v>12360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54500</v>
      </c>
      <c r="E133" s="39">
        <f>SUM(E122:E132)</f>
        <v>180150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TRUNC(5360+6798,-1)</f>
        <v>12150</v>
      </c>
      <c r="E137" s="63">
        <f t="shared" si="5"/>
        <v>40160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TRUNC(2898,-1)</f>
        <v>2890</v>
      </c>
      <c r="E139" s="63">
        <f t="shared" si="5"/>
        <v>9550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TRUNC(18394,-1)</f>
        <v>18390</v>
      </c>
      <c r="E141" s="63">
        <f t="shared" si="5"/>
        <v>60790</v>
      </c>
    </row>
    <row r="142" spans="1:7" x14ac:dyDescent="0.3">
      <c r="A142" s="2">
        <v>7</v>
      </c>
      <c r="C142" s="38" t="s">
        <v>58</v>
      </c>
      <c r="D142" s="42">
        <f>TRUNC(7134,-1)</f>
        <v>7130</v>
      </c>
      <c r="E142" s="63">
        <f t="shared" si="5"/>
        <v>23570</v>
      </c>
    </row>
    <row r="143" spans="1:7" x14ac:dyDescent="0.3">
      <c r="A143" s="2">
        <v>8</v>
      </c>
      <c r="C143" s="38" t="s">
        <v>62</v>
      </c>
      <c r="D143" s="42">
        <f>TRUNC(4899,-1)</f>
        <v>4890</v>
      </c>
      <c r="E143" s="63">
        <f t="shared" si="5"/>
        <v>16160</v>
      </c>
    </row>
    <row r="144" spans="1:7" x14ac:dyDescent="0.3">
      <c r="A144" s="2">
        <v>9</v>
      </c>
      <c r="C144" s="38" t="s">
        <v>63</v>
      </c>
      <c r="D144" s="42">
        <f>TRUNC(6207,-1)</f>
        <v>6200</v>
      </c>
      <c r="E144" s="63">
        <f t="shared" si="5"/>
        <v>20490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51650</v>
      </c>
      <c r="E146" s="39">
        <f>SUM(E136:E145)</f>
        <v>170720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TRUNC(7798+1045,-1)</f>
        <v>8840</v>
      </c>
      <c r="E149" s="62">
        <f>TRUNC(+D149*3.3058,-1)</f>
        <v>29220</v>
      </c>
    </row>
    <row r="150" spans="1:7" x14ac:dyDescent="0.3">
      <c r="A150" s="2">
        <v>2</v>
      </c>
      <c r="C150" s="38" t="s">
        <v>49</v>
      </c>
      <c r="D150" s="42">
        <f>TRUNC(5044,-1)</f>
        <v>5040</v>
      </c>
      <c r="E150" s="63">
        <f>TRUNC(+D150*3.3058,-1)</f>
        <v>16660</v>
      </c>
    </row>
    <row r="151" spans="1:7" x14ac:dyDescent="0.3">
      <c r="A151" s="2">
        <v>3</v>
      </c>
      <c r="C151" s="38" t="s">
        <v>50</v>
      </c>
      <c r="D151" s="42">
        <f>TRUNC(23135,-1)</f>
        <v>23130</v>
      </c>
      <c r="E151" s="63">
        <f>TRUNC(+D151*3.3058,-1)</f>
        <v>76460</v>
      </c>
    </row>
    <row r="152" spans="1:7" x14ac:dyDescent="0.3">
      <c r="A152" s="2">
        <v>4</v>
      </c>
      <c r="C152" s="38" t="s">
        <v>47</v>
      </c>
      <c r="D152" s="42">
        <f>TRUNC(124+2517,-1)</f>
        <v>2640</v>
      </c>
      <c r="E152" s="63">
        <f>TRUNC(+D152*3.3058,-1)</f>
        <v>8720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39650</v>
      </c>
      <c r="E154" s="39">
        <f>SUM(E149:E153)</f>
        <v>131060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SUM(E156:E160)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2020-12-08T01:16:33Z</dcterms:modified>
</cp:coreProperties>
</file>