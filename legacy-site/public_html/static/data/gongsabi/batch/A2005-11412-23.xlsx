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닷컴\공사비 닷컴 최종 - 복사본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2" i="4" l="1"/>
  <c r="E151" i="4"/>
  <c r="E147" i="4"/>
  <c r="E143" i="4"/>
  <c r="E138" i="4"/>
  <c r="E137" i="4"/>
  <c r="E136" i="4"/>
  <c r="E135" i="4"/>
  <c r="E134" i="4"/>
  <c r="E133" i="4"/>
  <c r="E132" i="4"/>
  <c r="E131" i="4"/>
  <c r="E130" i="4"/>
  <c r="E124" i="4"/>
  <c r="E123" i="4"/>
  <c r="E121" i="4"/>
  <c r="E118" i="4"/>
  <c r="E117" i="4"/>
  <c r="E110" i="4"/>
  <c r="E109" i="4"/>
  <c r="E107" i="4"/>
  <c r="E106" i="4"/>
  <c r="E105" i="4"/>
  <c r="E104" i="4"/>
  <c r="E103" i="4"/>
  <c r="E101" i="4"/>
  <c r="E100" i="4"/>
  <c r="E97" i="4"/>
  <c r="E95" i="4"/>
  <c r="E87" i="4"/>
  <c r="E85" i="4"/>
  <c r="E84" i="4"/>
  <c r="E83" i="4"/>
  <c r="E82" i="4"/>
  <c r="E81" i="4"/>
  <c r="E80" i="4"/>
  <c r="E79" i="4"/>
  <c r="E78" i="4"/>
  <c r="E77" i="4"/>
  <c r="E76" i="4"/>
  <c r="E75" i="4"/>
  <c r="E74" i="4"/>
  <c r="E72" i="4"/>
  <c r="E71" i="4"/>
  <c r="E70" i="4"/>
  <c r="E69" i="4"/>
  <c r="E68" i="4"/>
  <c r="E67" i="4"/>
  <c r="E65" i="4"/>
  <c r="E59" i="4"/>
  <c r="E58" i="4"/>
  <c r="E53" i="4"/>
  <c r="E51" i="4"/>
  <c r="E50" i="4"/>
  <c r="E48" i="4"/>
  <c r="E36" i="4"/>
  <c r="D154" i="4" l="1"/>
  <c r="E154" i="4" s="1"/>
  <c r="D153" i="4" l="1"/>
  <c r="D146" i="4"/>
  <c r="E146" i="4" s="1"/>
  <c r="D145" i="4"/>
  <c r="E145" i="4" s="1"/>
  <c r="D144" i="4"/>
  <c r="E144" i="4" s="1"/>
  <c r="D139" i="4"/>
  <c r="E139" i="4" s="1"/>
  <c r="E140" i="4" s="1"/>
  <c r="D126" i="4"/>
  <c r="E126" i="4" s="1"/>
  <c r="D125" i="4"/>
  <c r="E125" i="4" s="1"/>
  <c r="D122" i="4"/>
  <c r="E122" i="4" s="1"/>
  <c r="D120" i="4"/>
  <c r="E120" i="4" s="1"/>
  <c r="D119" i="4"/>
  <c r="E119" i="4" s="1"/>
  <c r="D116" i="4"/>
  <c r="D112" i="4"/>
  <c r="E112" i="4" s="1"/>
  <c r="D111" i="4"/>
  <c r="E111" i="4" s="1"/>
  <c r="D108" i="4"/>
  <c r="E108" i="4" s="1"/>
  <c r="D102" i="4"/>
  <c r="E102" i="4" s="1"/>
  <c r="D99" i="4"/>
  <c r="E99" i="4" s="1"/>
  <c r="D98" i="4"/>
  <c r="E98" i="4" s="1"/>
  <c r="D96" i="4"/>
  <c r="E96" i="4" s="1"/>
  <c r="D94" i="4"/>
  <c r="E94" i="4" s="1"/>
  <c r="D93" i="4"/>
  <c r="E93" i="4" s="1"/>
  <c r="D92" i="4"/>
  <c r="D88" i="4"/>
  <c r="E88" i="4" s="1"/>
  <c r="D86" i="4"/>
  <c r="E86" i="4" s="1"/>
  <c r="D73" i="4"/>
  <c r="E73" i="4" s="1"/>
  <c r="D66" i="4"/>
  <c r="E66" i="4" s="1"/>
  <c r="D64" i="4"/>
  <c r="E64" i="4" s="1"/>
  <c r="D63" i="4"/>
  <c r="E63" i="4" s="1"/>
  <c r="D57" i="4"/>
  <c r="D52" i="4"/>
  <c r="E52" i="4" s="1"/>
  <c r="D49" i="4"/>
  <c r="E49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5" i="4"/>
  <c r="E35" i="4" s="1"/>
  <c r="D34" i="4"/>
  <c r="D31" i="4"/>
  <c r="E31" i="4" s="1"/>
  <c r="D7" i="4"/>
  <c r="D60" i="4" l="1"/>
  <c r="D20" i="4" s="1"/>
  <c r="E20" i="4" s="1"/>
  <c r="E57" i="4"/>
  <c r="E60" i="4" s="1"/>
  <c r="D18" i="4"/>
  <c r="E18" i="4" s="1"/>
  <c r="D89" i="4"/>
  <c r="D21" i="4" s="1"/>
  <c r="E21" i="4" s="1"/>
  <c r="D113" i="4"/>
  <c r="D22" i="4" s="1"/>
  <c r="E22" i="4" s="1"/>
  <c r="E92" i="4"/>
  <c r="D54" i="4"/>
  <c r="D19" i="4" s="1"/>
  <c r="E19" i="4" s="1"/>
  <c r="E34" i="4"/>
  <c r="E54" i="4" s="1"/>
  <c r="E89" i="4"/>
  <c r="E113" i="4"/>
  <c r="D140" i="4"/>
  <c r="D24" i="4" s="1"/>
  <c r="E24" i="4" s="1"/>
  <c r="D148" i="4"/>
  <c r="D25" i="4" s="1"/>
  <c r="E25" i="4" s="1"/>
  <c r="D127" i="4"/>
  <c r="D23" i="4" s="1"/>
  <c r="E23" i="4" s="1"/>
  <c r="E116" i="4"/>
  <c r="E127" i="4" s="1"/>
  <c r="E148" i="4"/>
  <c r="D155" i="4"/>
  <c r="D26" i="4" s="1"/>
  <c r="E26" i="4" s="1"/>
  <c r="E153" i="4"/>
  <c r="E155" i="4" s="1"/>
  <c r="D27" i="4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28" i="4" l="1"/>
  <c r="E27" i="4"/>
  <c r="E28" i="4" s="1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<sst xmlns="http://schemas.openxmlformats.org/spreadsheetml/2006/main" count="391" uniqueCount="265">
  <si>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</si>
  <si>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</si>
  <si>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</si>
  <si>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</si>
  <si>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</si>
  <si>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</si>
  <si>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</si>
  <si>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</si>
  <si>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</si>
  <si>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</si>
  <si>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</si>
  <si>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</si>
  <si>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</si>
  <si>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</si>
  <si>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</si>
  <si>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</si>
  <si>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</si>
  <si>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</si>
  <si>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</si>
  <si>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</si>
  <si>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</si>
  <si>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</si>
  <si>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</si>
  <si>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</si>
  <si>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</si>
  <si>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</si>
  <si>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</si>
  <si>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</si>
  <si>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</si>
  <si>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</si>
  <si>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</si>
  <si>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</si>
  <si>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</si>
  <si>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</si>
  <si>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</si>
  <si>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</si>
  <si>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</si>
  <si>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</si>
  <si>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</si>
  <si>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</si>
  <si>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</si>
  <si>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</si>
  <si>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</si>
  <si>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</si>
  <si>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</si>
  <si>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</si>
  <si>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</si>
  <si>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</si>
  <si>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</si>
  <si>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</si>
  <si>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</si>
  <si>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</si>
  <si>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</si>
  <si>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</si>
  <si>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</si>
  <si>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</si>
  <si>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</si>
  <si>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</si>
  <si>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</si>
  <si>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</si>
  <si>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</si>
  <si>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</si>
  <si>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</si>
  <si>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</si>
  <si>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</si>
  <si>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</si>
  <si>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</si>
  <si>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</si>
  <si>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</si>
  <si>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</si>
  <si>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</si>
  <si>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</si>
  <si>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</si>
  <si>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</si>
  <si>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</si>
  <si>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</si>
  <si>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</si>
  <si>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</si>
  <si>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</si>
  <si>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</si>
  <si>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</si>
  <si>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</si>
  <si>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</si>
  <si>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</si>
  <si>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</si>
  <si>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</si>
  <si>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</si>
  <si>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</si>
  <si>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</si>
  <si>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</si>
  <si>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</si>
  <si>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</si>
  <si>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</si>
  <si>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</si>
  <si>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</si>
  <si>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</si>
  <si>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</si>
  <si>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</si>
  <si>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</si>
  <si>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</si>
  <si>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</si>
  <si>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</si>
  <si>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</si>
  <si>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</si>
  <si>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</si>
  <si>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</si>
  <si>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</si>
  <si>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</si>
  <si>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</si>
  <si>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</si>
  <si>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</si>
  <si>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</si>
  <si>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</si>
  <si>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</si>
  <si>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</si>
  <si>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</si>
  <si>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</si>
  <si>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</si>
  <si>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</si>
  <si>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</si>
  <si>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</si>
  <si>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</si>
  <si>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</si>
  <si>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</si>
  <si>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</si>
  <si>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</si>
  <si>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</si>
  <si>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</si>
  <si>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</si>
  <si>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</si>
  <si>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</si>
  <si>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</si>
  <si>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</si>
  <si>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</si>
  <si>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</si>
  <si>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</si>
  <si>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</si>
  <si>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</si>
  <si>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</si>
  <si>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</si>
  <si>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</si>
  <si>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</si>
  <si>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</si>
  <si>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</si>
  <si>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</si>
  <si>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</si>
  <si>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</si>
  <si>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</si>
  <si>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</si>
  <si>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</si>
  <si>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</si>
  <si>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</si>
  <si>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</si>
  <si>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</si>
  <si>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</si>
  <si>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</si>
  <si>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</si>
  <si>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</si>
  <si>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</si>
  <si>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</si>
  <si>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</si>
  <si>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</si>
  <si>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</si>
  <si>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</si>
  <si>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</si>
  <si>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</si>
  <si>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</si>
  <si>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</si>
  <si>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</si>
  <si>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</si>
  <si>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</si>
  <si>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</si>
  <si>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</si>
  <si>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</si>
  <si>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</si>
  <si>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</si>
  <si>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</si>
  <si>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</si>
  <si>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</si>
  <si>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</si>
  <si>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</si>
  <si>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</si>
  <si>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</si>
  <si>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</si>
  <si>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</si>
  <si>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</si>
  <si>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</si>
  <si>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</si>
  <si>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</si>
  <si>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</si>
  <si>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</si>
  <si>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</si>
  <si>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</si>
  <si>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</si>
  <si>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</si>
  <si>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</si>
  <si>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</si>
  <si>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</si>
  <si>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</si>
  <si>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</si>
  <si>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</si>
  <si>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</si>
  <si>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</si>
  <si>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</si>
  <si>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</si>
  <si>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</si>
  <si>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</si>
  <si>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</si>
  <si>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</si>
  <si>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</si>
  <si>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</si>
  <si>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</si>
  <si>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</si>
  <si>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</si>
  <si>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</si>
  <si>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</si>
  <si>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</si>
  <si>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</si>
  <si>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</si>
  <si>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</si>
  <si>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</si>
  <si>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</si>
  <si>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</si>
  <si>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</si>
  <si>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</si>
  <si>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</si>
  <si>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</si>
  <si>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</si>
  <si>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</si>
  <si>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</si>
  <si>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</si>
  <si>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</si>
  <si>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</si>
  <si>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</si>
  <si>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</si>
  <si>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</si>
  <si>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</si>
  <si>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</si>
  <si>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</si>
  <si>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</si>
  <si>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</si>
  <si>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</si>
  <si>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</si>
  <si>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</si>
  <si>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</si>
  <si>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</si>
  <si>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00고등학교 교사 신축공사</t>
  </si>
  <si>
    <t>평</t>
    <phoneticPr fontId="2" type="noConversion"/>
  </si>
  <si>
    <t>원/ m2</t>
    <phoneticPr fontId="2" type="noConversion"/>
  </si>
  <si>
    <t>기초및토공사,골재대및운반비,교문설치공사,조례대공사,옥외게시판공사,오수처리시설공사,작업부산물공제</t>
    <phoneticPr fontId="2" type="noConversion"/>
  </si>
  <si>
    <t>환기배관공사</t>
  </si>
  <si>
    <t>물탱크실배관공사,입상위생배관공사,지하층위생배관공사,1층~옥상층배관공사,화장실배관공사,조리장위생배관공사,조리장배기덕트공사,체육관샤워실배관공사,가사실 위생배관공사,과학실 위생배관공사,에어컨설치 부대공사</t>
    <phoneticPr fontId="2" type="noConversion"/>
  </si>
  <si>
    <t>옥외간선공사</t>
    <phoneticPr fontId="2" type="noConversion"/>
  </si>
  <si>
    <t>선풍기공사</t>
    <phoneticPr fontId="2" type="noConversion"/>
  </si>
  <si>
    <t>정보통신공사,특별실방송공사</t>
    <phoneticPr fontId="2" type="noConversion"/>
  </si>
  <si>
    <t>배수공사,운동장공사,운반공사,부대공사</t>
    <phoneticPr fontId="2" type="noConversion"/>
  </si>
  <si>
    <t>조경공사</t>
    <phoneticPr fontId="2" type="noConversion"/>
  </si>
  <si>
    <t>원/ m2</t>
    <phoneticPr fontId="2" type="noConversion"/>
  </si>
  <si>
    <t>경상도</t>
  </si>
  <si>
    <t>도급자설치, 관급자설치</t>
    <phoneticPr fontId="2" type="noConversion"/>
  </si>
  <si>
    <t>관급자설치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</si>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</sst>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C30" sqref="C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10806</v>
      </c>
      <c r="D7" s="36">
        <f>+C7/3.3058</f>
        <v>3268.8002903986931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7" x14ac:dyDescent="0.3">
      <c r="A17" s="2">
        <v>8</v>
      </c>
      <c r="B17" s="2" t="s">
        <v>109</v>
      </c>
      <c r="C17" s="2" t="s">
        <v>113</v>
      </c>
      <c r="D17" s="2" t="s">
        <v>234</v>
      </c>
      <c r="E17" s="35" t="s">
        <v>261</v>
      </c>
    </row>
    <row r="18" spans="1:7" x14ac:dyDescent="0.3">
      <c r="B18" s="2">
        <v>1</v>
      </c>
      <c r="C18" s="35" t="s">
        <v>110</v>
      </c>
      <c r="D18" s="41">
        <f>D31</f>
        <v>1470</v>
      </c>
      <c r="E18" s="59">
        <f t="shared" ref="E18:E27" si="0">TRUNC(+D18*3.3058,-1)</f>
        <v>4850</v>
      </c>
    </row>
    <row r="19" spans="1:7" x14ac:dyDescent="0.3">
      <c r="B19" s="2">
        <v>2</v>
      </c>
      <c r="C19" s="35" t="s">
        <v>111</v>
      </c>
      <c r="D19" s="45">
        <f>+D54</f>
        <v>419580</v>
      </c>
      <c r="E19" s="60">
        <f t="shared" si="0"/>
        <v>1387040</v>
      </c>
    </row>
    <row r="20" spans="1:7" x14ac:dyDescent="0.3">
      <c r="B20" s="2">
        <v>3</v>
      </c>
      <c r="C20" s="35" t="s">
        <v>95</v>
      </c>
      <c r="D20" s="45">
        <f>+D60</f>
        <v>5610</v>
      </c>
      <c r="E20" s="60">
        <f t="shared" si="0"/>
        <v>18540</v>
      </c>
    </row>
    <row r="21" spans="1:7" x14ac:dyDescent="0.3">
      <c r="B21" s="2">
        <v>4</v>
      </c>
      <c r="C21" s="35" t="s">
        <v>96</v>
      </c>
      <c r="D21" s="45">
        <f>+D89</f>
        <v>23020</v>
      </c>
      <c r="E21" s="60">
        <f t="shared" si="0"/>
        <v>76090</v>
      </c>
    </row>
    <row r="22" spans="1:7" x14ac:dyDescent="0.3">
      <c r="B22" s="2">
        <v>5</v>
      </c>
      <c r="C22" s="35" t="s">
        <v>97</v>
      </c>
      <c r="D22" s="45">
        <f>+D113</f>
        <v>46870</v>
      </c>
      <c r="E22" s="60">
        <f t="shared" si="0"/>
        <v>154940</v>
      </c>
    </row>
    <row r="23" spans="1:7" x14ac:dyDescent="0.3">
      <c r="B23" s="2">
        <v>6</v>
      </c>
      <c r="C23" s="35" t="s">
        <v>98</v>
      </c>
      <c r="D23" s="45">
        <f>+D127</f>
        <v>40630</v>
      </c>
      <c r="E23" s="60">
        <f t="shared" si="0"/>
        <v>134310</v>
      </c>
    </row>
    <row r="24" spans="1:7" x14ac:dyDescent="0.3">
      <c r="B24" s="2">
        <v>7</v>
      </c>
      <c r="C24" s="35" t="s">
        <v>99</v>
      </c>
      <c r="D24" s="45">
        <f>+D140</f>
        <v>37700</v>
      </c>
      <c r="E24" s="60">
        <f t="shared" si="0"/>
        <v>124620</v>
      </c>
    </row>
    <row r="25" spans="1:7" x14ac:dyDescent="0.3">
      <c r="B25" s="2">
        <v>8</v>
      </c>
      <c r="C25" s="35" t="s">
        <v>100</v>
      </c>
      <c r="D25" s="45">
        <f>+D148</f>
        <v>37290</v>
      </c>
      <c r="E25" s="60">
        <f t="shared" si="0"/>
        <v>123270</v>
      </c>
    </row>
    <row r="26" spans="1:7" x14ac:dyDescent="0.3">
      <c r="B26" s="2">
        <v>9</v>
      </c>
      <c r="C26" s="35" t="s">
        <v>101</v>
      </c>
      <c r="D26" s="45">
        <f>+D155</f>
        <v>117370</v>
      </c>
      <c r="E26" s="60">
        <f t="shared" si="0"/>
        <v>388000</v>
      </c>
    </row>
    <row r="27" spans="1:7" x14ac:dyDescent="0.3">
      <c r="B27" s="2">
        <v>10</v>
      </c>
      <c r="C27" s="35" t="s">
        <v>153</v>
      </c>
      <c r="D27" s="53">
        <f>TRUNC(SUM(D18:D26)*0.275,-1)</f>
        <v>200620</v>
      </c>
      <c r="E27" s="61">
        <f t="shared" si="0"/>
        <v>663200</v>
      </c>
    </row>
    <row r="28" spans="1:7" x14ac:dyDescent="0.3">
      <c r="C28" s="35" t="s">
        <v>112</v>
      </c>
      <c r="D28" s="44">
        <f>SUM(D18:D27)</f>
        <v>930160</v>
      </c>
      <c r="E28" s="44">
        <f>SUM(E18:E27)</f>
        <v>3074860</v>
      </c>
    </row>
    <row r="29" spans="1:7" s="55" customFormat="1" x14ac:dyDescent="0.3">
      <c r="C29" s="56"/>
      <c r="D29" s="56"/>
      <c r="E29" s="56"/>
      <c r="F29" s="54"/>
      <c r="G29" s="54"/>
    </row>
    <row r="30" spans="1:7" s="55" customFormat="1" ht="17.25" thickBot="1" x14ac:dyDescent="0.35">
      <c r="B30" s="55" t="s">
        <v>12</v>
      </c>
      <c r="C30" s="55" t="s">
        <v>235</v>
      </c>
      <c r="D30" s="56" t="s">
        <v>257</v>
      </c>
      <c r="E30" s="56" t="s">
        <v>261</v>
      </c>
      <c r="F30" s="54"/>
      <c r="G30" s="54"/>
    </row>
    <row r="31" spans="1:7" ht="17.25" thickBot="1" x14ac:dyDescent="0.35">
      <c r="C31" s="38" t="s">
        <v>143</v>
      </c>
      <c r="D31" s="52">
        <f>TRUNC(1474.90033314825,-1)</f>
        <v>1470</v>
      </c>
      <c r="E31" s="62">
        <f>TRUNC(+D31*3.3058,-1)</f>
        <v>4850</v>
      </c>
    </row>
    <row r="32" spans="1:7" s="66" customFormat="1" x14ac:dyDescent="0.3">
      <c r="C32" s="67"/>
      <c r="D32" s="67"/>
      <c r="E32" s="67"/>
      <c r="G32" s="68"/>
    </row>
    <row r="33" spans="1:7" s="66" customFormat="1" ht="17.25" thickBot="1" x14ac:dyDescent="0.35">
      <c r="B33" s="66" t="s">
        <v>111</v>
      </c>
      <c r="C33" s="66" t="s">
        <v>239</v>
      </c>
      <c r="D33" s="67" t="s">
        <v>262</v>
      </c>
      <c r="E33" s="67" t="s">
        <v>263</v>
      </c>
      <c r="G33" s="68"/>
    </row>
    <row r="34" spans="1:7" x14ac:dyDescent="0.3">
      <c r="A34" s="2">
        <v>1</v>
      </c>
      <c r="C34" s="38" t="s">
        <v>15</v>
      </c>
      <c r="D34" s="40">
        <f>TRUNC(33514.5819914862,-1)</f>
        <v>33510</v>
      </c>
      <c r="E34" s="63">
        <f t="shared" ref="E34:E53" si="1">TRUNC(+D34*3.3058,-1)</f>
        <v>110770</v>
      </c>
    </row>
    <row r="35" spans="1:7" x14ac:dyDescent="0.3">
      <c r="A35" s="2">
        <v>2</v>
      </c>
      <c r="C35" s="38" t="s">
        <v>13</v>
      </c>
      <c r="D35" s="42">
        <f>TRUNC(96196.8185267444,-1)</f>
        <v>96190</v>
      </c>
      <c r="E35" s="64">
        <f t="shared" si="1"/>
        <v>317980</v>
      </c>
    </row>
    <row r="36" spans="1:7" x14ac:dyDescent="0.3">
      <c r="A36" s="2">
        <v>3</v>
      </c>
      <c r="C36" s="38" t="s">
        <v>14</v>
      </c>
      <c r="D36" s="42">
        <v>0</v>
      </c>
      <c r="E36" s="64">
        <f t="shared" si="1"/>
        <v>0</v>
      </c>
    </row>
    <row r="37" spans="1:7" x14ac:dyDescent="0.3">
      <c r="A37" s="2">
        <v>4</v>
      </c>
      <c r="C37" s="38" t="s">
        <v>16</v>
      </c>
      <c r="D37" s="42">
        <f>TRUNC(35565.2884508606,-1)</f>
        <v>35560</v>
      </c>
      <c r="E37" s="64">
        <f t="shared" si="1"/>
        <v>117550</v>
      </c>
    </row>
    <row r="38" spans="1:7" x14ac:dyDescent="0.3">
      <c r="A38" s="2">
        <v>5</v>
      </c>
      <c r="C38" s="38" t="s">
        <v>17</v>
      </c>
      <c r="D38" s="42">
        <f>TRUNC(5712.08532296872,-1)</f>
        <v>5710</v>
      </c>
      <c r="E38" s="64">
        <f t="shared" si="1"/>
        <v>18870</v>
      </c>
    </row>
    <row r="39" spans="1:7" x14ac:dyDescent="0.3">
      <c r="A39" s="2">
        <v>6</v>
      </c>
      <c r="C39" s="38" t="s">
        <v>18</v>
      </c>
      <c r="D39" s="42">
        <f>TRUNC(6217.74255043494,-1)</f>
        <v>6210</v>
      </c>
      <c r="E39" s="64">
        <f t="shared" si="1"/>
        <v>20520</v>
      </c>
    </row>
    <row r="40" spans="1:7" x14ac:dyDescent="0.3">
      <c r="A40" s="2">
        <v>7</v>
      </c>
      <c r="C40" s="38" t="s">
        <v>19</v>
      </c>
      <c r="D40" s="42">
        <f>TRUNC(10007.7734591893,-1)</f>
        <v>10000</v>
      </c>
      <c r="E40" s="64">
        <f t="shared" si="1"/>
        <v>33050</v>
      </c>
    </row>
    <row r="41" spans="1:7" x14ac:dyDescent="0.3">
      <c r="A41" s="2">
        <v>8</v>
      </c>
      <c r="C41" s="38" t="s">
        <v>20</v>
      </c>
      <c r="D41" s="42">
        <f>TRUNC(14438.7832685545,-1)</f>
        <v>14430</v>
      </c>
      <c r="E41" s="64">
        <f t="shared" si="1"/>
        <v>47700</v>
      </c>
    </row>
    <row r="42" spans="1:7" x14ac:dyDescent="0.3">
      <c r="A42" s="2">
        <v>9</v>
      </c>
      <c r="C42" s="38" t="s">
        <v>21</v>
      </c>
      <c r="D42" s="42">
        <f>TRUNC(42688.395613548,-1)</f>
        <v>42680</v>
      </c>
      <c r="E42" s="64">
        <f t="shared" si="1"/>
        <v>141090</v>
      </c>
    </row>
    <row r="43" spans="1:7" x14ac:dyDescent="0.3">
      <c r="A43" s="2">
        <v>10</v>
      </c>
      <c r="C43" s="38" t="s">
        <v>22</v>
      </c>
      <c r="D43" s="42">
        <f>TRUNC(17433.4889875994,-1)</f>
        <v>17430</v>
      </c>
      <c r="E43" s="64">
        <f t="shared" si="1"/>
        <v>57620</v>
      </c>
    </row>
    <row r="44" spans="1:7" x14ac:dyDescent="0.3">
      <c r="A44" s="2">
        <v>11</v>
      </c>
      <c r="C44" s="38" t="s">
        <v>154</v>
      </c>
      <c r="D44" s="42">
        <f>TRUNC(38958.5434018138,-1)</f>
        <v>38950</v>
      </c>
      <c r="E44" s="64">
        <f t="shared" si="1"/>
        <v>128760</v>
      </c>
    </row>
    <row r="45" spans="1:7" x14ac:dyDescent="0.3">
      <c r="A45" s="2">
        <v>12</v>
      </c>
      <c r="C45" s="38" t="s">
        <v>23</v>
      </c>
      <c r="D45" s="42">
        <f>TRUNC(6883.12048861743,-1)</f>
        <v>6880</v>
      </c>
      <c r="E45" s="64">
        <f t="shared" si="1"/>
        <v>22740</v>
      </c>
    </row>
    <row r="46" spans="1:7" x14ac:dyDescent="0.3">
      <c r="A46" s="2">
        <v>13</v>
      </c>
      <c r="C46" s="38" t="s">
        <v>24</v>
      </c>
      <c r="D46" s="42">
        <f>TRUNC(5829.11215991116,-1)</f>
        <v>5820</v>
      </c>
      <c r="E46" s="64">
        <f t="shared" si="1"/>
        <v>19230</v>
      </c>
    </row>
    <row r="47" spans="1:7" x14ac:dyDescent="0.3">
      <c r="A47" s="2">
        <v>14</v>
      </c>
      <c r="C47" s="38" t="s">
        <v>25</v>
      </c>
      <c r="D47" s="42">
        <f>TRUNC(37238.2863224135,-1)</f>
        <v>37230</v>
      </c>
      <c r="E47" s="64">
        <f t="shared" si="1"/>
        <v>123070</v>
      </c>
    </row>
    <row r="48" spans="1:7" x14ac:dyDescent="0.3">
      <c r="A48" s="2">
        <v>15</v>
      </c>
      <c r="C48" s="38" t="s">
        <v>147</v>
      </c>
      <c r="D48" s="42">
        <v>0</v>
      </c>
      <c r="E48" s="64">
        <f t="shared" si="1"/>
        <v>0</v>
      </c>
    </row>
    <row r="49" spans="1:7" x14ac:dyDescent="0.3">
      <c r="A49" s="2">
        <v>16</v>
      </c>
      <c r="C49" s="38" t="s">
        <v>144</v>
      </c>
      <c r="D49" s="42">
        <f>TRUNC(26262.7058115862,-1)</f>
        <v>26260</v>
      </c>
      <c r="E49" s="64">
        <f t="shared" si="1"/>
        <v>86810</v>
      </c>
    </row>
    <row r="50" spans="1:7" x14ac:dyDescent="0.3">
      <c r="A50" s="2">
        <v>17</v>
      </c>
      <c r="C50" s="38" t="s">
        <v>145</v>
      </c>
      <c r="D50" s="42">
        <v>0</v>
      </c>
      <c r="E50" s="64">
        <f t="shared" si="1"/>
        <v>0</v>
      </c>
    </row>
    <row r="51" spans="1:7" x14ac:dyDescent="0.3">
      <c r="A51" s="2">
        <v>18</v>
      </c>
      <c r="C51" s="38" t="s">
        <v>146</v>
      </c>
      <c r="D51" s="42">
        <v>0</v>
      </c>
      <c r="E51" s="64">
        <f t="shared" si="1"/>
        <v>0</v>
      </c>
    </row>
    <row r="52" spans="1:7" x14ac:dyDescent="0.3">
      <c r="A52" s="2">
        <v>19</v>
      </c>
      <c r="C52" s="38" t="s">
        <v>26</v>
      </c>
      <c r="D52" s="42">
        <f>TRUNC(27409.845456228+4933.59550249861+935.542013696095+3019.15047196002+249.174995372941+6769.1327040533-595.271145659819,-1)</f>
        <v>42720</v>
      </c>
      <c r="E52" s="64">
        <f t="shared" si="1"/>
        <v>141220</v>
      </c>
      <c r="F52" s="2" t="s">
        <v>249</v>
      </c>
    </row>
    <row r="53" spans="1:7" ht="17.25" thickBot="1" x14ac:dyDescent="0.35">
      <c r="A53" s="2">
        <v>20</v>
      </c>
      <c r="C53" s="38" t="s">
        <v>148</v>
      </c>
      <c r="D53" s="43">
        <v>0</v>
      </c>
      <c r="E53" s="65">
        <f t="shared" si="1"/>
        <v>0</v>
      </c>
    </row>
    <row r="54" spans="1:7" x14ac:dyDescent="0.3">
      <c r="A54" s="2">
        <v>21</v>
      </c>
      <c r="C54" s="27" t="s">
        <v>112</v>
      </c>
      <c r="D54" s="39">
        <f>SUM(D34:D53)</f>
        <v>419580</v>
      </c>
      <c r="E54" s="39">
        <f>SUM(E34:E53)</f>
        <v>1386980</v>
      </c>
    </row>
    <row r="55" spans="1:7" s="55" customFormat="1" x14ac:dyDescent="0.3">
      <c r="C55" s="56"/>
      <c r="D55" s="56"/>
      <c r="E55" s="56"/>
      <c r="F55" s="54"/>
      <c r="G55" s="54"/>
    </row>
    <row r="56" spans="1:7" s="55" customFormat="1" ht="17.25" thickBot="1" x14ac:dyDescent="0.35">
      <c r="B56" s="55" t="s">
        <v>236</v>
      </c>
      <c r="C56" s="55" t="s">
        <v>237</v>
      </c>
      <c r="D56" s="56" t="s">
        <v>248</v>
      </c>
      <c r="E56" s="56" t="s">
        <v>261</v>
      </c>
      <c r="F56" s="54"/>
      <c r="G56" s="54"/>
    </row>
    <row r="57" spans="1:7" x14ac:dyDescent="0.3">
      <c r="A57" s="2">
        <v>1</v>
      </c>
      <c r="C57" s="38" t="s">
        <v>27</v>
      </c>
      <c r="D57" s="40">
        <f>TRUNC(5617.94567832686,-1)</f>
        <v>5610</v>
      </c>
      <c r="E57" s="63">
        <f>TRUNC(+D57*3.3058,-1)</f>
        <v>18540</v>
      </c>
    </row>
    <row r="58" spans="1:7" x14ac:dyDescent="0.3">
      <c r="A58" s="2">
        <v>2</v>
      </c>
      <c r="C58" s="38" t="s">
        <v>29</v>
      </c>
      <c r="D58" s="42">
        <v>0</v>
      </c>
      <c r="E58" s="64">
        <f>TRUNC(+D58*3.3058,-1)</f>
        <v>0</v>
      </c>
    </row>
    <row r="59" spans="1:7" ht="17.25" thickBot="1" x14ac:dyDescent="0.35">
      <c r="A59" s="2">
        <v>3</v>
      </c>
      <c r="C59" s="38" t="s">
        <v>28</v>
      </c>
      <c r="D59" s="43">
        <v>0</v>
      </c>
      <c r="E59" s="65">
        <f>TRUNC(+D59*3.3058,-1)</f>
        <v>0</v>
      </c>
    </row>
    <row r="60" spans="1:7" x14ac:dyDescent="0.3">
      <c r="A60" s="2">
        <v>4</v>
      </c>
      <c r="C60" s="27" t="s">
        <v>112</v>
      </c>
      <c r="D60" s="57">
        <f>SUM(D57:D59)</f>
        <v>5610</v>
      </c>
      <c r="E60" s="57">
        <f>SUM(E57:E59)</f>
        <v>18540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248</v>
      </c>
      <c r="E62" s="56" t="s">
        <v>261</v>
      </c>
      <c r="F62" s="54"/>
      <c r="G62" s="54"/>
    </row>
    <row r="63" spans="1:7" x14ac:dyDescent="0.3">
      <c r="A63" s="2">
        <v>1</v>
      </c>
      <c r="C63" s="38" t="s">
        <v>30</v>
      </c>
      <c r="D63" s="40">
        <f>TRUNC(2170.84712196928,-1)</f>
        <v>2170</v>
      </c>
      <c r="E63" s="63">
        <f>TRUNC(+D63*3.3058,-1)</f>
        <v>7170</v>
      </c>
    </row>
    <row r="64" spans="1:7" ht="16.5" customHeight="1" x14ac:dyDescent="0.3">
      <c r="A64" s="2">
        <v>2</v>
      </c>
      <c r="C64" s="38" t="s">
        <v>31</v>
      </c>
      <c r="D64" s="42">
        <f>TRUNC(759.404219877846,-1)</f>
        <v>750</v>
      </c>
      <c r="E64" s="64">
        <f>TRUNC(+D64*3.3058,-1)</f>
        <v>2470</v>
      </c>
    </row>
    <row r="65" spans="1:6" x14ac:dyDescent="0.3">
      <c r="A65" s="2">
        <v>3</v>
      </c>
      <c r="C65" s="38" t="s">
        <v>32</v>
      </c>
      <c r="D65" s="42">
        <v>0</v>
      </c>
      <c r="E65" s="64">
        <f t="shared" ref="E65:E67" si="2">TRUNC(+D65*3.3058,-1)</f>
        <v>0</v>
      </c>
    </row>
    <row r="66" spans="1:6" x14ac:dyDescent="0.3">
      <c r="A66" s="2">
        <v>4</v>
      </c>
      <c r="C66" s="38" t="s">
        <v>33</v>
      </c>
      <c r="D66" s="42">
        <f>TRUNC(1316.14427170091,-1)</f>
        <v>1310</v>
      </c>
      <c r="E66" s="64">
        <f t="shared" si="2"/>
        <v>4330</v>
      </c>
    </row>
    <row r="67" spans="1:6" x14ac:dyDescent="0.3">
      <c r="A67" s="2">
        <v>5</v>
      </c>
      <c r="C67" s="38" t="s">
        <v>34</v>
      </c>
      <c r="D67" s="42">
        <v>0</v>
      </c>
      <c r="E67" s="64">
        <f t="shared" si="2"/>
        <v>0</v>
      </c>
    </row>
    <row r="68" spans="1:6" x14ac:dyDescent="0.3">
      <c r="A68" s="2">
        <v>6</v>
      </c>
      <c r="C68" s="38" t="s">
        <v>175</v>
      </c>
      <c r="D68" s="42">
        <v>0</v>
      </c>
      <c r="E68" s="64">
        <f>TRUNC(+D68*3.3058,-1)</f>
        <v>0</v>
      </c>
    </row>
    <row r="69" spans="1:6" x14ac:dyDescent="0.3">
      <c r="A69" s="2">
        <v>7</v>
      </c>
      <c r="C69" s="38" t="s">
        <v>140</v>
      </c>
      <c r="D69" s="42">
        <v>0</v>
      </c>
      <c r="E69" s="64">
        <f>TRUNC(+D69*3.3058,-1)</f>
        <v>0</v>
      </c>
    </row>
    <row r="70" spans="1:6" x14ac:dyDescent="0.3">
      <c r="A70" s="2">
        <v>8</v>
      </c>
      <c r="C70" s="38" t="s">
        <v>119</v>
      </c>
      <c r="D70" s="42">
        <v>0</v>
      </c>
      <c r="E70" s="64">
        <f t="shared" ref="E70:E83" si="3">TRUNC(+D70*3.3058,-1)</f>
        <v>0</v>
      </c>
    </row>
    <row r="71" spans="1:6" x14ac:dyDescent="0.3">
      <c r="A71" s="2">
        <v>9</v>
      </c>
      <c r="C71" s="38" t="s">
        <v>152</v>
      </c>
      <c r="D71" s="42">
        <v>0</v>
      </c>
      <c r="E71" s="64">
        <f t="shared" si="3"/>
        <v>0</v>
      </c>
    </row>
    <row r="72" spans="1:6" x14ac:dyDescent="0.3">
      <c r="A72" s="2">
        <v>10</v>
      </c>
      <c r="C72" s="38" t="s">
        <v>137</v>
      </c>
      <c r="D72" s="42">
        <v>0</v>
      </c>
      <c r="E72" s="64">
        <f t="shared" si="3"/>
        <v>0</v>
      </c>
    </row>
    <row r="73" spans="1:6" x14ac:dyDescent="0.3">
      <c r="A73" s="2">
        <v>11</v>
      </c>
      <c r="C73" s="38" t="s">
        <v>133</v>
      </c>
      <c r="D73" s="42">
        <f>TRUNC(668.66250231353,-1)</f>
        <v>660</v>
      </c>
      <c r="E73" s="64">
        <f t="shared" si="3"/>
        <v>2180</v>
      </c>
      <c r="F73" s="2" t="s">
        <v>250</v>
      </c>
    </row>
    <row r="74" spans="1:6" x14ac:dyDescent="0.3">
      <c r="A74" s="2">
        <v>12</v>
      </c>
      <c r="C74" s="38" t="s">
        <v>128</v>
      </c>
      <c r="D74" s="42">
        <v>0</v>
      </c>
      <c r="E74" s="64">
        <f t="shared" si="3"/>
        <v>0</v>
      </c>
    </row>
    <row r="75" spans="1:6" x14ac:dyDescent="0.3">
      <c r="A75" s="2">
        <v>13</v>
      </c>
      <c r="C75" s="38" t="s">
        <v>121</v>
      </c>
      <c r="D75" s="42">
        <v>0</v>
      </c>
      <c r="E75" s="64">
        <f t="shared" si="3"/>
        <v>0</v>
      </c>
    </row>
    <row r="76" spans="1:6" x14ac:dyDescent="0.3">
      <c r="A76" s="2">
        <v>14</v>
      </c>
      <c r="C76" s="38" t="s">
        <v>134</v>
      </c>
      <c r="D76" s="42">
        <v>0</v>
      </c>
      <c r="E76" s="64">
        <f t="shared" si="3"/>
        <v>0</v>
      </c>
    </row>
    <row r="77" spans="1:6" x14ac:dyDescent="0.3">
      <c r="A77" s="2">
        <v>15</v>
      </c>
      <c r="C77" s="38" t="s">
        <v>136</v>
      </c>
      <c r="D77" s="42">
        <v>0</v>
      </c>
      <c r="E77" s="64">
        <f t="shared" si="3"/>
        <v>0</v>
      </c>
    </row>
    <row r="78" spans="1:6" x14ac:dyDescent="0.3">
      <c r="A78" s="2">
        <v>16</v>
      </c>
      <c r="C78" s="38" t="s">
        <v>122</v>
      </c>
      <c r="D78" s="42">
        <v>0</v>
      </c>
      <c r="E78" s="64">
        <f>TRUNC(+D78*3.3058,-1)</f>
        <v>0</v>
      </c>
    </row>
    <row r="79" spans="1:6" x14ac:dyDescent="0.3">
      <c r="A79" s="2">
        <v>17</v>
      </c>
      <c r="C79" s="38" t="s">
        <v>123</v>
      </c>
      <c r="D79" s="42">
        <v>0</v>
      </c>
      <c r="E79" s="64">
        <f t="shared" si="3"/>
        <v>0</v>
      </c>
    </row>
    <row r="80" spans="1:6" x14ac:dyDescent="0.3">
      <c r="A80" s="2">
        <v>18</v>
      </c>
      <c r="C80" s="38" t="s">
        <v>141</v>
      </c>
      <c r="D80" s="42">
        <v>0</v>
      </c>
      <c r="E80" s="64">
        <f t="shared" si="3"/>
        <v>0</v>
      </c>
    </row>
    <row r="81" spans="1:7" x14ac:dyDescent="0.3">
      <c r="A81" s="2">
        <v>19</v>
      </c>
      <c r="C81" s="38" t="s">
        <v>139</v>
      </c>
      <c r="D81" s="42">
        <v>0</v>
      </c>
      <c r="E81" s="64">
        <f t="shared" si="3"/>
        <v>0</v>
      </c>
    </row>
    <row r="82" spans="1:7" x14ac:dyDescent="0.3">
      <c r="A82" s="2">
        <v>20</v>
      </c>
      <c r="C82" s="38" t="s">
        <v>142</v>
      </c>
      <c r="D82" s="42">
        <v>0</v>
      </c>
      <c r="E82" s="64">
        <f t="shared" si="3"/>
        <v>0</v>
      </c>
    </row>
    <row r="83" spans="1:7" x14ac:dyDescent="0.3">
      <c r="A83" s="2">
        <v>21</v>
      </c>
      <c r="C83" s="38" t="s">
        <v>35</v>
      </c>
      <c r="D83" s="42">
        <v>0</v>
      </c>
      <c r="E83" s="64">
        <f t="shared" si="3"/>
        <v>0</v>
      </c>
    </row>
    <row r="84" spans="1:7" x14ac:dyDescent="0.3">
      <c r="A84" s="2">
        <v>22</v>
      </c>
      <c r="C84" s="38" t="s">
        <v>36</v>
      </c>
      <c r="D84" s="42">
        <v>0</v>
      </c>
      <c r="E84" s="64">
        <f>TRUNC(+D84*3.3058,-1)</f>
        <v>0</v>
      </c>
    </row>
    <row r="85" spans="1:7" x14ac:dyDescent="0.3">
      <c r="A85" s="2">
        <v>23</v>
      </c>
      <c r="C85" s="38" t="s">
        <v>37</v>
      </c>
      <c r="D85" s="42">
        <v>0</v>
      </c>
      <c r="E85" s="64">
        <f>TRUNC(+D85*3.3058,-1)</f>
        <v>0</v>
      </c>
    </row>
    <row r="86" spans="1:7" x14ac:dyDescent="0.3">
      <c r="A86" s="2">
        <v>24</v>
      </c>
      <c r="C86" s="38" t="s">
        <v>38</v>
      </c>
      <c r="D86" s="42">
        <f>TRUNC(4354.51600962428,-1)</f>
        <v>4350</v>
      </c>
      <c r="E86" s="64">
        <f>TRUNC(+D86*3.3058,-1)</f>
        <v>14380</v>
      </c>
    </row>
    <row r="87" spans="1:7" x14ac:dyDescent="0.3">
      <c r="A87" s="2">
        <v>25</v>
      </c>
      <c r="C87" s="38" t="s">
        <v>148</v>
      </c>
      <c r="D87" s="42">
        <v>0</v>
      </c>
      <c r="E87" s="64">
        <f>TRUNC(+D87*3.3058,-1)</f>
        <v>0</v>
      </c>
    </row>
    <row r="88" spans="1:7" ht="17.25" thickBot="1" x14ac:dyDescent="0.35">
      <c r="A88" s="2">
        <v>26</v>
      </c>
      <c r="C88" s="38" t="s">
        <v>47</v>
      </c>
      <c r="D88" s="43">
        <f>TRUNC(1702.53322228392+882.43947806774+2143.25448824727+1479.7736442717+3448.46640755136+1065.65778271331+985.605126781418+369.363409217102+235.159078289839+366.892744771423+1110.6771238201,-1)</f>
        <v>13780</v>
      </c>
      <c r="E88" s="65">
        <f>TRUNC(+D88*3.3058,-1)</f>
        <v>45550</v>
      </c>
      <c r="F88" s="2" t="s">
        <v>251</v>
      </c>
    </row>
    <row r="89" spans="1:7" x14ac:dyDescent="0.3">
      <c r="A89" s="2">
        <v>27</v>
      </c>
      <c r="C89" s="27" t="s">
        <v>112</v>
      </c>
      <c r="D89" s="39">
        <f>SUM(D63:D88)</f>
        <v>23020</v>
      </c>
      <c r="E89" s="39">
        <f>SUM(E63:E88)</f>
        <v>76080</v>
      </c>
    </row>
    <row r="90" spans="1:7" s="55" customFormat="1" x14ac:dyDescent="0.3">
      <c r="C90" s="56"/>
      <c r="D90" s="56"/>
      <c r="E90" s="56"/>
      <c r="F90" s="54"/>
      <c r="G90" s="54"/>
    </row>
    <row r="91" spans="1:7" s="55" customFormat="1" ht="17.25" thickBot="1" x14ac:dyDescent="0.35">
      <c r="B91" s="55" t="s">
        <v>240</v>
      </c>
      <c r="C91" s="55" t="s">
        <v>239</v>
      </c>
      <c r="D91" s="56" t="s">
        <v>248</v>
      </c>
      <c r="E91" s="56" t="s">
        <v>261</v>
      </c>
      <c r="F91" s="54"/>
      <c r="G91" s="54"/>
    </row>
    <row r="92" spans="1:7" x14ac:dyDescent="0.3">
      <c r="A92" s="2">
        <v>1</v>
      </c>
      <c r="C92" s="38" t="s">
        <v>39</v>
      </c>
      <c r="D92" s="40">
        <f>TRUNC(3732.95215620951,-1)</f>
        <v>3730</v>
      </c>
      <c r="E92" s="63">
        <f t="shared" ref="E92:E112" si="4">TRUNC(+D92*3.3058,-1)</f>
        <v>12330</v>
      </c>
    </row>
    <row r="93" spans="1:7" x14ac:dyDescent="0.3">
      <c r="A93" s="2">
        <v>2</v>
      </c>
      <c r="C93" s="38" t="s">
        <v>40</v>
      </c>
      <c r="D93" s="42">
        <f>TRUNC(341.887747547659,-1)</f>
        <v>340</v>
      </c>
      <c r="E93" s="64">
        <f t="shared" si="4"/>
        <v>1120</v>
      </c>
    </row>
    <row r="94" spans="1:7" x14ac:dyDescent="0.3">
      <c r="A94" s="2">
        <v>3</v>
      </c>
      <c r="C94" s="38" t="s">
        <v>41</v>
      </c>
      <c r="D94" s="42">
        <f>TRUNC(9993.45826392745,-1)</f>
        <v>9990</v>
      </c>
      <c r="E94" s="64">
        <f t="shared" si="4"/>
        <v>33020</v>
      </c>
    </row>
    <row r="95" spans="1:7" x14ac:dyDescent="0.3">
      <c r="A95" s="2">
        <v>4</v>
      </c>
      <c r="C95" s="38" t="s">
        <v>42</v>
      </c>
      <c r="D95" s="42">
        <v>0</v>
      </c>
      <c r="E95" s="64">
        <f t="shared" si="4"/>
        <v>0</v>
      </c>
    </row>
    <row r="96" spans="1:7" x14ac:dyDescent="0.3">
      <c r="A96" s="2">
        <v>5</v>
      </c>
      <c r="C96" s="38" t="s">
        <v>43</v>
      </c>
      <c r="D96" s="42">
        <f>TRUNC(2806.12835461781,-1)</f>
        <v>2800</v>
      </c>
      <c r="E96" s="64">
        <f t="shared" si="4"/>
        <v>9250</v>
      </c>
    </row>
    <row r="97" spans="1:6" x14ac:dyDescent="0.3">
      <c r="A97" s="2">
        <v>6</v>
      </c>
      <c r="C97" s="38" t="s">
        <v>44</v>
      </c>
      <c r="D97" s="42">
        <v>0</v>
      </c>
      <c r="E97" s="64">
        <f t="shared" si="4"/>
        <v>0</v>
      </c>
    </row>
    <row r="98" spans="1:6" x14ac:dyDescent="0.3">
      <c r="A98" s="2">
        <v>7</v>
      </c>
      <c r="C98" s="38" t="s">
        <v>45</v>
      </c>
      <c r="D98" s="42">
        <f>TRUNC(2559.88154728854,-1)</f>
        <v>2550</v>
      </c>
      <c r="E98" s="64">
        <f t="shared" si="4"/>
        <v>8420</v>
      </c>
    </row>
    <row r="99" spans="1:6" x14ac:dyDescent="0.3">
      <c r="A99" s="2">
        <v>8</v>
      </c>
      <c r="C99" s="38" t="s">
        <v>46</v>
      </c>
      <c r="D99" s="42">
        <f>TRUNC(1727.35850453452,-1)</f>
        <v>1720</v>
      </c>
      <c r="E99" s="64">
        <f t="shared" si="4"/>
        <v>5680</v>
      </c>
    </row>
    <row r="100" spans="1:6" x14ac:dyDescent="0.3">
      <c r="A100" s="2">
        <v>9</v>
      </c>
      <c r="C100" s="38" t="s">
        <v>135</v>
      </c>
      <c r="D100" s="42">
        <v>0</v>
      </c>
      <c r="E100" s="64">
        <f t="shared" si="4"/>
        <v>0</v>
      </c>
    </row>
    <row r="101" spans="1:6" x14ac:dyDescent="0.3">
      <c r="A101" s="2">
        <v>10</v>
      </c>
      <c r="C101" s="38" t="s">
        <v>117</v>
      </c>
      <c r="D101" s="42">
        <v>0</v>
      </c>
      <c r="E101" s="64">
        <f t="shared" si="4"/>
        <v>0</v>
      </c>
    </row>
    <row r="102" spans="1:6" x14ac:dyDescent="0.3">
      <c r="A102" s="2">
        <v>11</v>
      </c>
      <c r="C102" s="38" t="s">
        <v>120</v>
      </c>
      <c r="D102" s="42">
        <f>TRUNC(2965.3248195447,-1)</f>
        <v>2960</v>
      </c>
      <c r="E102" s="64">
        <f t="shared" si="4"/>
        <v>9780</v>
      </c>
    </row>
    <row r="103" spans="1:6" x14ac:dyDescent="0.3">
      <c r="A103" s="2">
        <v>12</v>
      </c>
      <c r="C103" s="38" t="s">
        <v>125</v>
      </c>
      <c r="D103" s="42">
        <v>0</v>
      </c>
      <c r="E103" s="64">
        <f t="shared" si="4"/>
        <v>0</v>
      </c>
    </row>
    <row r="104" spans="1:6" x14ac:dyDescent="0.3">
      <c r="A104" s="2">
        <v>13</v>
      </c>
      <c r="C104" s="38" t="s">
        <v>127</v>
      </c>
      <c r="D104" s="42">
        <v>0</v>
      </c>
      <c r="E104" s="64">
        <f t="shared" si="4"/>
        <v>0</v>
      </c>
    </row>
    <row r="105" spans="1:6" x14ac:dyDescent="0.3">
      <c r="A105" s="2">
        <v>14</v>
      </c>
      <c r="C105" s="38" t="s">
        <v>129</v>
      </c>
      <c r="D105" s="42">
        <v>0</v>
      </c>
      <c r="E105" s="64">
        <f t="shared" si="4"/>
        <v>0</v>
      </c>
    </row>
    <row r="106" spans="1:6" x14ac:dyDescent="0.3">
      <c r="A106" s="2">
        <v>15</v>
      </c>
      <c r="C106" s="38" t="s">
        <v>132</v>
      </c>
      <c r="D106" s="42">
        <v>0</v>
      </c>
      <c r="E106" s="64">
        <f t="shared" si="4"/>
        <v>0</v>
      </c>
    </row>
    <row r="107" spans="1:6" x14ac:dyDescent="0.3">
      <c r="A107" s="2">
        <v>16</v>
      </c>
      <c r="C107" s="38" t="s">
        <v>118</v>
      </c>
      <c r="D107" s="42">
        <v>0</v>
      </c>
      <c r="E107" s="64">
        <f t="shared" si="4"/>
        <v>0</v>
      </c>
    </row>
    <row r="108" spans="1:6" x14ac:dyDescent="0.3">
      <c r="A108" s="2">
        <v>17</v>
      </c>
      <c r="C108" s="38" t="s">
        <v>130</v>
      </c>
      <c r="D108" s="42">
        <f>TRUNC(3567.72108088099,-1)</f>
        <v>3560</v>
      </c>
      <c r="E108" s="64">
        <f t="shared" si="4"/>
        <v>11760</v>
      </c>
      <c r="F108" s="2" t="s">
        <v>252</v>
      </c>
    </row>
    <row r="109" spans="1:6" x14ac:dyDescent="0.3">
      <c r="A109" s="2">
        <v>18</v>
      </c>
      <c r="C109" s="38" t="s">
        <v>116</v>
      </c>
      <c r="D109" s="42">
        <v>0</v>
      </c>
      <c r="E109" s="64">
        <f t="shared" si="4"/>
        <v>0</v>
      </c>
    </row>
    <row r="110" spans="1:6" x14ac:dyDescent="0.3">
      <c r="A110" s="2">
        <v>19</v>
      </c>
      <c r="C110" s="38" t="s">
        <v>115</v>
      </c>
      <c r="D110" s="42">
        <v>0</v>
      </c>
      <c r="E110" s="64">
        <f t="shared" si="4"/>
        <v>0</v>
      </c>
    </row>
    <row r="111" spans="1:6" x14ac:dyDescent="0.3">
      <c r="A111" s="2">
        <v>20</v>
      </c>
      <c r="C111" s="38" t="s">
        <v>148</v>
      </c>
      <c r="D111" s="42">
        <f>TRUNC(8451.78604478993+9395.61354802887,-1)</f>
        <v>17840</v>
      </c>
      <c r="E111" s="64">
        <f t="shared" si="4"/>
        <v>58970</v>
      </c>
      <c r="F111" s="2" t="s">
        <v>259</v>
      </c>
    </row>
    <row r="112" spans="1:6" ht="17.25" thickBot="1" x14ac:dyDescent="0.35">
      <c r="A112" s="2">
        <v>21</v>
      </c>
      <c r="C112" s="38" t="s">
        <v>47</v>
      </c>
      <c r="D112" s="43">
        <f>TRUNC(1387.35887469924,-1)</f>
        <v>1380</v>
      </c>
      <c r="E112" s="65">
        <f t="shared" si="4"/>
        <v>4560</v>
      </c>
      <c r="F112" s="2" t="s">
        <v>253</v>
      </c>
    </row>
    <row r="113" spans="1:7" x14ac:dyDescent="0.3">
      <c r="A113" s="2">
        <v>22</v>
      </c>
      <c r="C113" s="27" t="s">
        <v>112</v>
      </c>
      <c r="D113" s="39">
        <f>SUM(D92:D112)</f>
        <v>46870</v>
      </c>
      <c r="E113" s="39">
        <f>SUM(E92:E112)</f>
        <v>154890</v>
      </c>
    </row>
    <row r="114" spans="1:7" s="55" customFormat="1" x14ac:dyDescent="0.3">
      <c r="C114" s="56"/>
      <c r="D114" s="56"/>
      <c r="E114" s="56"/>
      <c r="F114" s="54"/>
      <c r="G114" s="54"/>
    </row>
    <row r="115" spans="1:7" s="55" customFormat="1" ht="17.25" thickBot="1" x14ac:dyDescent="0.35">
      <c r="B115" s="55" t="s">
        <v>241</v>
      </c>
      <c r="C115" s="55" t="s">
        <v>239</v>
      </c>
      <c r="D115" s="56" t="s">
        <v>248</v>
      </c>
      <c r="E115" s="56" t="s">
        <v>261</v>
      </c>
      <c r="F115" s="54"/>
      <c r="G115" s="54"/>
    </row>
    <row r="116" spans="1:7" x14ac:dyDescent="0.3">
      <c r="A116" s="2">
        <v>1</v>
      </c>
      <c r="C116" s="38" t="s">
        <v>55</v>
      </c>
      <c r="D116" s="40">
        <f>TRUNC(1809.05719044975,-1)</f>
        <v>1800</v>
      </c>
      <c r="E116" s="63">
        <f t="shared" ref="E116:E126" si="5">TRUNC(+D116*3.3058,-1)</f>
        <v>5950</v>
      </c>
    </row>
    <row r="117" spans="1:7" x14ac:dyDescent="0.3">
      <c r="A117" s="2">
        <v>2</v>
      </c>
      <c r="C117" s="38" t="s">
        <v>124</v>
      </c>
      <c r="D117" s="42">
        <v>0</v>
      </c>
      <c r="E117" s="64">
        <f t="shared" si="5"/>
        <v>0</v>
      </c>
    </row>
    <row r="118" spans="1:7" x14ac:dyDescent="0.3">
      <c r="A118" s="2">
        <v>3</v>
      </c>
      <c r="C118" s="38" t="s">
        <v>151</v>
      </c>
      <c r="D118" s="42">
        <v>0</v>
      </c>
      <c r="E118" s="64">
        <f t="shared" si="5"/>
        <v>0</v>
      </c>
    </row>
    <row r="119" spans="1:7" x14ac:dyDescent="0.3">
      <c r="A119" s="2">
        <v>4</v>
      </c>
      <c r="C119" s="38" t="s">
        <v>138</v>
      </c>
      <c r="D119" s="42">
        <f>TRUNC(2748.40718119563,-1)</f>
        <v>2740</v>
      </c>
      <c r="E119" s="64">
        <f t="shared" si="5"/>
        <v>9050</v>
      </c>
    </row>
    <row r="120" spans="1:7" x14ac:dyDescent="0.3">
      <c r="A120" s="2">
        <v>5</v>
      </c>
      <c r="C120" s="38" t="s">
        <v>53</v>
      </c>
      <c r="D120" s="42">
        <f>TRUNC(419.90135110124,-1)</f>
        <v>410</v>
      </c>
      <c r="E120" s="64">
        <f t="shared" si="5"/>
        <v>1350</v>
      </c>
    </row>
    <row r="121" spans="1:7" x14ac:dyDescent="0.3">
      <c r="A121" s="2">
        <v>6</v>
      </c>
      <c r="C121" s="38" t="s">
        <v>56</v>
      </c>
      <c r="D121" s="42">
        <v>0</v>
      </c>
      <c r="E121" s="64">
        <f t="shared" si="5"/>
        <v>0</v>
      </c>
    </row>
    <row r="122" spans="1:7" x14ac:dyDescent="0.3">
      <c r="A122" s="2">
        <v>7</v>
      </c>
      <c r="C122" s="38" t="s">
        <v>46</v>
      </c>
      <c r="D122" s="42">
        <f>TRUNC(625.4686285397,-1)</f>
        <v>620</v>
      </c>
      <c r="E122" s="64">
        <f t="shared" si="5"/>
        <v>2040</v>
      </c>
    </row>
    <row r="123" spans="1:7" x14ac:dyDescent="0.3">
      <c r="A123" s="2">
        <v>8</v>
      </c>
      <c r="C123" s="38" t="s">
        <v>126</v>
      </c>
      <c r="D123" s="42">
        <v>0</v>
      </c>
      <c r="E123" s="64">
        <f t="shared" si="5"/>
        <v>0</v>
      </c>
    </row>
    <row r="124" spans="1:7" ht="17.25" customHeight="1" x14ac:dyDescent="0.3">
      <c r="A124" s="2">
        <v>9</v>
      </c>
      <c r="C124" s="38" t="s">
        <v>54</v>
      </c>
      <c r="D124" s="42">
        <v>0</v>
      </c>
      <c r="E124" s="64">
        <f t="shared" si="5"/>
        <v>0</v>
      </c>
    </row>
    <row r="125" spans="1:7" x14ac:dyDescent="0.3">
      <c r="A125" s="2">
        <v>10</v>
      </c>
      <c r="C125" s="38" t="s">
        <v>148</v>
      </c>
      <c r="D125" s="42">
        <f>TRUNC(31689.1541736073,-1)</f>
        <v>31680</v>
      </c>
      <c r="E125" s="64">
        <f t="shared" si="5"/>
        <v>104720</v>
      </c>
      <c r="F125" s="2" t="s">
        <v>260</v>
      </c>
    </row>
    <row r="126" spans="1:7" ht="17.25" thickBot="1" x14ac:dyDescent="0.35">
      <c r="A126" s="2">
        <v>11</v>
      </c>
      <c r="C126" s="38" t="s">
        <v>47</v>
      </c>
      <c r="D126" s="43">
        <f>TRUNC(2951.66463076069+437.075235980011,-1)</f>
        <v>3380</v>
      </c>
      <c r="E126" s="65">
        <f t="shared" si="5"/>
        <v>11170</v>
      </c>
      <c r="F126" s="2" t="s">
        <v>254</v>
      </c>
    </row>
    <row r="127" spans="1:7" x14ac:dyDescent="0.3">
      <c r="A127" s="2">
        <v>12</v>
      </c>
      <c r="C127" s="27" t="s">
        <v>112</v>
      </c>
      <c r="D127" s="39">
        <f>SUM(D116:D126)</f>
        <v>40630</v>
      </c>
      <c r="E127" s="39">
        <f>SUM(E116:E126)</f>
        <v>134280</v>
      </c>
    </row>
    <row r="128" spans="1:7" s="55" customFormat="1" x14ac:dyDescent="0.3">
      <c r="C128" s="56"/>
      <c r="D128" s="56"/>
      <c r="E128" s="56"/>
      <c r="F128" s="54"/>
      <c r="G128" s="54"/>
    </row>
    <row r="129" spans="1:7" s="55" customFormat="1" ht="17.25" thickBot="1" x14ac:dyDescent="0.35">
      <c r="B129" s="55" t="s">
        <v>242</v>
      </c>
      <c r="C129" s="55" t="s">
        <v>239</v>
      </c>
      <c r="D129" s="56" t="s">
        <v>234</v>
      </c>
      <c r="E129" s="56" t="s">
        <v>261</v>
      </c>
      <c r="F129" s="54"/>
      <c r="G129" s="54"/>
    </row>
    <row r="130" spans="1:7" x14ac:dyDescent="0.3">
      <c r="A130" s="2">
        <v>1</v>
      </c>
      <c r="C130" s="38" t="s">
        <v>131</v>
      </c>
      <c r="D130" s="40">
        <v>0</v>
      </c>
      <c r="E130" s="63">
        <f t="shared" ref="E130:E139" si="6">TRUNC(+D130*3.3058,-1)</f>
        <v>0</v>
      </c>
    </row>
    <row r="131" spans="1:7" x14ac:dyDescent="0.3">
      <c r="A131" s="2">
        <v>2</v>
      </c>
      <c r="C131" s="38" t="s">
        <v>47</v>
      </c>
      <c r="D131" s="42">
        <v>0</v>
      </c>
      <c r="E131" s="64">
        <f t="shared" si="6"/>
        <v>0</v>
      </c>
    </row>
    <row r="132" spans="1:7" x14ac:dyDescent="0.3">
      <c r="A132" s="2">
        <v>3</v>
      </c>
      <c r="C132" s="38" t="s">
        <v>60</v>
      </c>
      <c r="D132" s="42">
        <v>0</v>
      </c>
      <c r="E132" s="64">
        <f t="shared" si="6"/>
        <v>0</v>
      </c>
    </row>
    <row r="133" spans="1:7" x14ac:dyDescent="0.3">
      <c r="A133" s="2">
        <v>4</v>
      </c>
      <c r="C133" s="38" t="s">
        <v>61</v>
      </c>
      <c r="D133" s="42">
        <v>0</v>
      </c>
      <c r="E133" s="64">
        <f t="shared" si="6"/>
        <v>0</v>
      </c>
    </row>
    <row r="134" spans="1:7" x14ac:dyDescent="0.3">
      <c r="A134" s="2">
        <v>5</v>
      </c>
      <c r="C134" s="38" t="s">
        <v>57</v>
      </c>
      <c r="D134" s="42">
        <v>0</v>
      </c>
      <c r="E134" s="64">
        <f t="shared" si="6"/>
        <v>0</v>
      </c>
    </row>
    <row r="135" spans="1:7" x14ac:dyDescent="0.3">
      <c r="A135" s="2">
        <v>6</v>
      </c>
      <c r="C135" s="38" t="s">
        <v>59</v>
      </c>
      <c r="D135" s="42">
        <v>0</v>
      </c>
      <c r="E135" s="64">
        <f t="shared" si="6"/>
        <v>0</v>
      </c>
    </row>
    <row r="136" spans="1:7" x14ac:dyDescent="0.3">
      <c r="A136" s="2">
        <v>7</v>
      </c>
      <c r="C136" s="38" t="s">
        <v>58</v>
      </c>
      <c r="D136" s="42">
        <v>0</v>
      </c>
      <c r="E136" s="64">
        <f t="shared" si="6"/>
        <v>0</v>
      </c>
    </row>
    <row r="137" spans="1:7" x14ac:dyDescent="0.3">
      <c r="A137" s="2">
        <v>8</v>
      </c>
      <c r="C137" s="38" t="s">
        <v>62</v>
      </c>
      <c r="D137" s="42">
        <v>0</v>
      </c>
      <c r="E137" s="64">
        <f t="shared" si="6"/>
        <v>0</v>
      </c>
    </row>
    <row r="138" spans="1:7" x14ac:dyDescent="0.3">
      <c r="A138" s="2">
        <v>9</v>
      </c>
      <c r="C138" s="38" t="s">
        <v>63</v>
      </c>
      <c r="D138" s="42">
        <v>0</v>
      </c>
      <c r="E138" s="64">
        <f t="shared" si="6"/>
        <v>0</v>
      </c>
    </row>
    <row r="139" spans="1:7" ht="17.25" thickBot="1" x14ac:dyDescent="0.35">
      <c r="A139" s="2">
        <v>10</v>
      </c>
      <c r="C139" s="38" t="s">
        <v>148</v>
      </c>
      <c r="D139" s="43">
        <f>TRUNC(37700.4256894318,-1)</f>
        <v>37700</v>
      </c>
      <c r="E139" s="65">
        <f t="shared" si="6"/>
        <v>124620</v>
      </c>
      <c r="F139" s="2" t="s">
        <v>260</v>
      </c>
    </row>
    <row r="140" spans="1:7" x14ac:dyDescent="0.3">
      <c r="A140" s="2">
        <v>11</v>
      </c>
      <c r="C140" s="27" t="s">
        <v>112</v>
      </c>
      <c r="D140" s="39">
        <f>SUM(D130:D139)</f>
        <v>37700</v>
      </c>
      <c r="E140" s="39">
        <f>SUM(E130:E139)</f>
        <v>124620</v>
      </c>
    </row>
    <row r="141" spans="1:7" s="55" customFormat="1" x14ac:dyDescent="0.3">
      <c r="C141" s="56"/>
      <c r="D141" s="56"/>
      <c r="E141" s="56"/>
      <c r="F141" s="54"/>
      <c r="G141" s="54"/>
    </row>
    <row r="142" spans="1:7" s="55" customFormat="1" ht="17.25" thickBot="1" x14ac:dyDescent="0.35">
      <c r="B142" s="55" t="s">
        <v>243</v>
      </c>
      <c r="C142" s="55" t="s">
        <v>239</v>
      </c>
      <c r="D142" s="56" t="s">
        <v>234</v>
      </c>
      <c r="E142" s="56" t="s">
        <v>261</v>
      </c>
      <c r="F142" s="54"/>
      <c r="G142" s="54"/>
    </row>
    <row r="143" spans="1:7" x14ac:dyDescent="0.3">
      <c r="A143" s="2">
        <v>1</v>
      </c>
      <c r="C143" s="38" t="s">
        <v>48</v>
      </c>
      <c r="D143" s="40">
        <v>0</v>
      </c>
      <c r="E143" s="63">
        <f>TRUNC(+D143*3.3058,-1)</f>
        <v>0</v>
      </c>
    </row>
    <row r="144" spans="1:7" x14ac:dyDescent="0.3">
      <c r="A144" s="2">
        <v>2</v>
      </c>
      <c r="C144" s="38" t="s">
        <v>49</v>
      </c>
      <c r="D144" s="42">
        <f>TRUNC(15347.2044234684,-1)</f>
        <v>15340</v>
      </c>
      <c r="E144" s="64">
        <f>TRUNC(+D144*3.3058,-1)</f>
        <v>50710</v>
      </c>
    </row>
    <row r="145" spans="1:7" x14ac:dyDescent="0.3">
      <c r="A145" s="2">
        <v>3</v>
      </c>
      <c r="C145" s="38" t="s">
        <v>50</v>
      </c>
      <c r="D145" s="42">
        <f>TRUNC(11857.2769757542,-1)</f>
        <v>11850</v>
      </c>
      <c r="E145" s="64">
        <f>TRUNC(+D145*3.3058,-1)</f>
        <v>39170</v>
      </c>
    </row>
    <row r="146" spans="1:7" x14ac:dyDescent="0.3">
      <c r="A146" s="2">
        <v>4</v>
      </c>
      <c r="C146" s="38" t="s">
        <v>47</v>
      </c>
      <c r="D146" s="42">
        <f>TRUNC(4623.36091060522+2801.65954099574+350.155654266148+2331.62132148806,-1)</f>
        <v>10100</v>
      </c>
      <c r="E146" s="64">
        <f>TRUNC(+D146*3.3058,-1)</f>
        <v>33380</v>
      </c>
      <c r="F146" s="58" t="s">
        <v>255</v>
      </c>
    </row>
    <row r="147" spans="1:7" ht="17.25" thickBot="1" x14ac:dyDescent="0.35">
      <c r="A147" s="2">
        <v>5</v>
      </c>
      <c r="C147" s="38" t="s">
        <v>148</v>
      </c>
      <c r="D147" s="43">
        <v>0</v>
      </c>
      <c r="E147" s="65">
        <f>TRUNC(+D147*3.3058,-1)</f>
        <v>0</v>
      </c>
    </row>
    <row r="148" spans="1:7" x14ac:dyDescent="0.3">
      <c r="A148" s="2">
        <v>6</v>
      </c>
      <c r="C148" s="27" t="s">
        <v>112</v>
      </c>
      <c r="D148" s="39">
        <f>SUM(D143:D147)</f>
        <v>37290</v>
      </c>
      <c r="E148" s="39">
        <f>SUM(E143:E147)</f>
        <v>123260</v>
      </c>
    </row>
    <row r="149" spans="1:7" s="55" customFormat="1" x14ac:dyDescent="0.3">
      <c r="C149" s="56"/>
      <c r="D149" s="56"/>
      <c r="E149" s="56"/>
      <c r="F149" s="54"/>
      <c r="G149" s="54"/>
    </row>
    <row r="150" spans="1:7" s="55" customFormat="1" ht="17.25" thickBot="1" x14ac:dyDescent="0.35">
      <c r="B150" s="55" t="s">
        <v>244</v>
      </c>
      <c r="C150" s="55" t="s">
        <v>239</v>
      </c>
      <c r="D150" s="56" t="s">
        <v>234</v>
      </c>
      <c r="E150" s="56" t="s">
        <v>261</v>
      </c>
      <c r="F150" s="54"/>
      <c r="G150" s="54"/>
    </row>
    <row r="151" spans="1:7" x14ac:dyDescent="0.3">
      <c r="A151" s="2">
        <v>1</v>
      </c>
      <c r="C151" s="38" t="s">
        <v>51</v>
      </c>
      <c r="D151" s="40">
        <v>0</v>
      </c>
      <c r="E151" s="63">
        <f>TRUNC(+D151*3.3058,-1)</f>
        <v>0</v>
      </c>
    </row>
    <row r="152" spans="1:7" x14ac:dyDescent="0.3">
      <c r="A152" s="2">
        <v>2</v>
      </c>
      <c r="C152" s="38" t="s">
        <v>52</v>
      </c>
      <c r="D152" s="42">
        <v>0</v>
      </c>
      <c r="E152" s="64">
        <f>TRUNC(+D152*3.3058,-1)</f>
        <v>0</v>
      </c>
    </row>
    <row r="153" spans="1:7" x14ac:dyDescent="0.3">
      <c r="A153" s="2">
        <v>3</v>
      </c>
      <c r="C153" s="38" t="s">
        <v>47</v>
      </c>
      <c r="D153" s="42">
        <f>TRUNC(9948.23884878771,-1)</f>
        <v>9940</v>
      </c>
      <c r="E153" s="64">
        <f>TRUNC(+D153*3.3058,-1)</f>
        <v>32850</v>
      </c>
      <c r="F153" s="2" t="s">
        <v>256</v>
      </c>
    </row>
    <row r="154" spans="1:7" ht="17.25" thickBot="1" x14ac:dyDescent="0.35">
      <c r="A154" s="2">
        <v>4</v>
      </c>
      <c r="C154" s="38" t="s">
        <v>148</v>
      </c>
      <c r="D154" s="43">
        <f>TRUNC(93546.3631315936+13885.2489357764,-1)</f>
        <v>107430</v>
      </c>
      <c r="E154" s="65">
        <f>TRUNC(+D154*3.3058,-1)</f>
        <v>355140</v>
      </c>
      <c r="F154" s="2" t="s">
        <v>259</v>
      </c>
    </row>
    <row r="155" spans="1:7" x14ac:dyDescent="0.3">
      <c r="A155" s="2">
        <v>5</v>
      </c>
      <c r="C155" s="27" t="s">
        <v>112</v>
      </c>
      <c r="D155" s="39">
        <f>SUM(D151:D154)</f>
        <v>117370</v>
      </c>
      <c r="E155" s="39">
        <f>SUM(E151:E154)</f>
        <v>387990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2020-12-03T06:16:35Z</dcterms:modified>
</cp:coreProperties>
</file>