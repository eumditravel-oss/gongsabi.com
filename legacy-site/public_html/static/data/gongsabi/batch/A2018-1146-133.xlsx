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7" i="4" l="1"/>
  <c r="D144" i="4"/>
  <c r="D143" i="4"/>
  <c r="D139" i="4"/>
  <c r="D138" i="4"/>
  <c r="D141" i="4"/>
  <c r="D142" i="4"/>
  <c r="D140" i="4"/>
  <c r="D132" i="4"/>
  <c r="D128" i="4"/>
  <c r="D127" i="4"/>
  <c r="D125" i="4"/>
  <c r="D130" i="4"/>
  <c r="D126" i="4"/>
  <c r="D118" i="4"/>
  <c r="D105" i="4"/>
  <c r="D104" i="4"/>
  <c r="D103" i="4"/>
  <c r="D102" i="4"/>
  <c r="D101" i="4"/>
  <c r="D100" i="4"/>
  <c r="D99" i="4"/>
  <c r="D98" i="4"/>
  <c r="D114" i="4"/>
  <c r="D116" i="4"/>
  <c r="D94" i="4"/>
  <c r="D92" i="4"/>
  <c r="D91" i="4"/>
  <c r="D89" i="4"/>
  <c r="D72" i="4"/>
  <c r="D71" i="4"/>
  <c r="D70" i="4"/>
  <c r="D69" i="4"/>
  <c r="D153" i="4"/>
  <c r="D131" i="4"/>
  <c r="D117" i="4"/>
  <c r="D9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63" i="4"/>
  <c r="D152" i="4"/>
  <c r="D151" i="4"/>
  <c r="D150" i="4"/>
  <c r="D14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46" i="4"/>
  <c r="E133" i="4"/>
  <c r="E119" i="4"/>
  <c r="E95" i="4"/>
  <c r="E60" i="4"/>
  <c r="E154" i="4"/>
  <c r="D161" i="4"/>
  <c r="D154" i="4"/>
  <c r="D31" i="4" s="1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29" i="4"/>
  <c r="E29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<sst xmlns="http://schemas.openxmlformats.org/spreadsheetml/2006/main" count="392" uniqueCount="267">
  <si>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</si>
  <si>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</si>
  <si>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</si>
  <si>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</si>
  <si>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</si>
  <si>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</si>
  <si>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</si>
  <si>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</si>
  <si>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</si>
  <si>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</si>
  <si>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</si>
  <si>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</si>
  <si>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</si>
  <si>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</si>
  <si>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</si>
  <si>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</si>
  <si>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</si>
  <si>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</si>
  <si>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</si>
  <si>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</si>
  <si>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</si>
  <si>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</si>
  <si>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</si>
  <si>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</si>
  <si>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</si>
  <si>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</si>
  <si>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</si>
  <si>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</si>
  <si>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</si>
  <si>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</si>
  <si>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</si>
  <si>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</si>
  <si>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</si>
  <si>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</si>
  <si>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</si>
  <si>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</si>
  <si>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</si>
  <si>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</si>
  <si>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</si>
  <si>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</si>
  <si>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</si>
  <si>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</si>
  <si>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</si>
  <si>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</si>
  <si>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</si>
  <si>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</si>
  <si>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</si>
  <si>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</si>
  <si>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</si>
  <si>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</si>
  <si>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</si>
  <si>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</si>
  <si>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</si>
  <si>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</si>
  <si>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</si>
  <si>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</si>
  <si>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</si>
  <si>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</si>
  <si>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</si>
  <si>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</si>
  <si>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</si>
  <si>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</si>
  <si>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</si>
  <si>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</si>
  <si>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</si>
  <si>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</si>
  <si>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</si>
  <si>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</si>
  <si>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</si>
  <si>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</si>
  <si>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</si>
  <si>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</si>
  <si>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</si>
  <si>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</si>
  <si>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</si>
  <si>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</si>
  <si>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</si>
  <si>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</si>
  <si>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</si>
  <si>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</si>
  <si>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</si>
  <si>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</si>
  <si>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</si>
  <si>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</si>
  <si>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</si>
  <si>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</si>
  <si>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</si>
  <si>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</si>
  <si>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</si>
  <si>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</si>
  <si>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</si>
  <si>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</si>
  <si>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</si>
  <si>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</si>
  <si>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</si>
  <si>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</si>
  <si>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</si>
  <si>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</si>
  <si>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</si>
  <si>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</si>
  <si>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</si>
  <si>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</si>
  <si>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</si>
  <si>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</si>
  <si>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</si>
  <si>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</si>
  <si>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</si>
  <si>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</si>
  <si>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</si>
  <si>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</si>
  <si>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</si>
  <si>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</si>
  <si>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</si>
  <si>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</si>
  <si>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</si>
  <si>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</si>
  <si>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</si>
  <si>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</si>
  <si>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</si>
  <si>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</si>
  <si>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</si>
  <si>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</si>
  <si>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</si>
  <si>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</si>
  <si>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</si>
  <si>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</si>
  <si>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</si>
  <si>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</si>
  <si>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</si>
  <si>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</si>
  <si>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</si>
  <si>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</si>
  <si>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</si>
  <si>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</si>
  <si>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</si>
  <si>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</si>
  <si>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</si>
  <si>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</si>
  <si>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</si>
  <si>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</si>
  <si>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</si>
  <si>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</si>
  <si>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</si>
  <si>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</si>
  <si>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</si>
  <si>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</si>
  <si>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</si>
  <si>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</si>
  <si>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</si>
  <si>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</si>
  <si>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</si>
  <si>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</si>
  <si>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</si>
  <si>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</si>
  <si>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</si>
  <si>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</si>
  <si>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</si>
  <si>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</si>
  <si>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</si>
  <si>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</si>
  <si>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</si>
  <si>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</si>
  <si>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</si>
  <si>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</si>
  <si>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</si>
  <si>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</si>
  <si>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</si>
  <si>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</si>
  <si>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</si>
  <si>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</si>
  <si>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</si>
  <si>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</si>
  <si>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</si>
  <si>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</si>
  <si>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</si>
  <si>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</si>
  <si>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</si>
  <si>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</si>
  <si>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</si>
  <si>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</si>
  <si>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</si>
  <si>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</si>
  <si>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</si>
  <si>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</si>
  <si>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</si>
  <si>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</si>
  <si>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</si>
  <si>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</si>
  <si>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</si>
  <si>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</si>
  <si>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</si>
  <si>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</si>
  <si>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</si>
  <si>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</si>
  <si>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</si>
  <si>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</si>
  <si>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</si>
  <si>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</si>
  <si>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</si>
  <si>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</si>
  <si>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</si>
  <si>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</si>
  <si>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</si>
  <si>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</si>
  <si>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</si>
  <si>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</si>
  <si>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</si>
  <si>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</si>
  <si>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</si>
  <si>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</si>
  <si>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</si>
  <si>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</si>
  <si>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</si>
  <si>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</si>
  <si>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</si>
  <si>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</si>
  <si>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</si>
  <si>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</si>
  <si>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</si>
  <si>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</si>
  <si>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</si>
  <si>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</si>
  <si>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</si>
  <si>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</si>
  <si>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</si>
  <si>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</si>
  <si>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</si>
  <si>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</si>
  <si>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</si>
  <si>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</si>
  <si>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</si>
  <si>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</si>
  <si>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</si>
  <si>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</si>
  <si>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</si>
  <si>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</si>
  <si>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</si>
  <si>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</si>
  <si>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</si>
  <si>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</si>
  <si>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</si>
  <si>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</si>
  <si>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</si>
  <si>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</si>
  <si>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</si>
  <si>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</si>
  <si>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</si>
  <si>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</si>
  <si>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가칭)대구대곡2지구 1초등학교 신축공사</t>
    <phoneticPr fontId="2" type="noConversion"/>
  </si>
  <si>
    <t>교육연구</t>
  </si>
  <si>
    <t>대구시</t>
  </si>
  <si>
    <t>기초공사,골재비및운반비,품질시험비,기타공사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</si>
  <si>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</si>
  <si>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</si>
  <si>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</si>
  <si>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공조배관공사,난방배관공사,기타공사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</si>
  <si>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</si>
  <si>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</si>
  <si>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CCTV설비공사,기타공사</t>
    <phoneticPr fontId="2" type="noConversion"/>
  </si>
  <si>
    <t>기타공사</t>
    <phoneticPr fontId="2" type="noConversion"/>
  </si>
  <si>
    <t>우수공사</t>
    <phoneticPr fontId="2" type="noConversion"/>
  </si>
  <si>
    <t>운반비,기타공사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</si>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</sst>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Alignment="1">
      <alignment horizontal="center"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3" t="s">
        <v>156</v>
      </c>
      <c r="B2" s="76" t="s">
        <v>0</v>
      </c>
      <c r="C2" s="77"/>
      <c r="D2" s="76" t="s">
        <v>1</v>
      </c>
      <c r="E2" s="77"/>
      <c r="F2" s="76" t="s">
        <v>157</v>
      </c>
      <c r="G2" s="77"/>
      <c r="H2" s="76" t="s">
        <v>2</v>
      </c>
      <c r="I2" s="77"/>
      <c r="J2" s="76" t="s">
        <v>3</v>
      </c>
      <c r="K2" s="77"/>
      <c r="L2" s="76" t="s">
        <v>158</v>
      </c>
      <c r="M2" s="77"/>
      <c r="N2" s="76" t="s">
        <v>159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>
      <c r="A1" s="66"/>
    </row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14472.15</v>
      </c>
      <c r="D7" s="36">
        <f>+C7/3.3058</f>
        <v>4377.805674874463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866220</v>
      </c>
      <c r="E25" s="59">
        <f t="shared" si="0"/>
        <v>2863550</v>
      </c>
    </row>
    <row r="26" spans="1:5" x14ac:dyDescent="0.3">
      <c r="B26" s="2">
        <v>3</v>
      </c>
      <c r="C26" s="35" t="s">
        <v>95</v>
      </c>
      <c r="D26" s="45">
        <f>+D66</f>
        <v>5750</v>
      </c>
      <c r="E26" s="59">
        <f t="shared" si="0"/>
        <v>19000</v>
      </c>
    </row>
    <row r="27" spans="1:5" x14ac:dyDescent="0.3">
      <c r="B27" s="2">
        <v>4</v>
      </c>
      <c r="C27" s="35" t="s">
        <v>96</v>
      </c>
      <c r="D27" s="45">
        <f>+D95</f>
        <v>188460</v>
      </c>
      <c r="E27" s="59">
        <f t="shared" si="0"/>
        <v>623010</v>
      </c>
    </row>
    <row r="28" spans="1:5" x14ac:dyDescent="0.3">
      <c r="B28" s="2">
        <v>5</v>
      </c>
      <c r="C28" s="35" t="s">
        <v>97</v>
      </c>
      <c r="D28" s="45">
        <f>+D119</f>
        <v>224370</v>
      </c>
      <c r="E28" s="59">
        <f t="shared" si="0"/>
        <v>741720</v>
      </c>
    </row>
    <row r="29" spans="1:5" x14ac:dyDescent="0.3">
      <c r="B29" s="2">
        <v>6</v>
      </c>
      <c r="C29" s="35" t="s">
        <v>98</v>
      </c>
      <c r="D29" s="45">
        <f>+D133</f>
        <v>57790</v>
      </c>
      <c r="E29" s="59">
        <f t="shared" si="0"/>
        <v>191040</v>
      </c>
    </row>
    <row r="30" spans="1:5" x14ac:dyDescent="0.3">
      <c r="B30" s="2">
        <v>7</v>
      </c>
      <c r="C30" s="35" t="s">
        <v>99</v>
      </c>
      <c r="D30" s="45">
        <f>+D146</f>
        <v>74600</v>
      </c>
      <c r="E30" s="59">
        <f t="shared" si="0"/>
        <v>246610</v>
      </c>
    </row>
    <row r="31" spans="1:5" x14ac:dyDescent="0.3">
      <c r="B31" s="2">
        <v>8</v>
      </c>
      <c r="C31" s="35" t="s">
        <v>100</v>
      </c>
      <c r="D31" s="45">
        <f>+D154</f>
        <v>56320</v>
      </c>
      <c r="E31" s="59">
        <f t="shared" si="0"/>
        <v>186180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405210</v>
      </c>
      <c r="E33" s="60">
        <f t="shared" si="0"/>
        <v>1339540</v>
      </c>
    </row>
    <row r="34" spans="1:7" x14ac:dyDescent="0.3">
      <c r="C34" s="35" t="s">
        <v>112</v>
      </c>
      <c r="D34" s="44">
        <f>SUM(D24:D33)</f>
        <v>1878720</v>
      </c>
      <c r="E34" s="44">
        <f>SUM(E24:E33)</f>
        <v>6210650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7" customFormat="1" x14ac:dyDescent="0.3">
      <c r="C38" s="68"/>
      <c r="D38" s="68"/>
      <c r="E38" s="68"/>
      <c r="G38" s="69"/>
    </row>
    <row r="39" spans="1:7" s="67" customFormat="1" ht="17.25" thickBot="1" x14ac:dyDescent="0.35">
      <c r="B39" s="67" t="s">
        <v>111</v>
      </c>
      <c r="C39" s="67" t="s">
        <v>242</v>
      </c>
      <c r="D39" s="68" t="s">
        <v>262</v>
      </c>
      <c r="E39" s="68" t="s">
        <v>263</v>
      </c>
      <c r="G39" s="69"/>
    </row>
    <row r="40" spans="1:7" x14ac:dyDescent="0.3">
      <c r="A40" s="2">
        <v>1</v>
      </c>
      <c r="C40" s="38" t="s">
        <v>15</v>
      </c>
      <c r="D40" s="40">
        <f>TRUNC(42907,-1)</f>
        <v>42900</v>
      </c>
      <c r="E40" s="62">
        <f t="shared" ref="E40:E59" si="1">TRUNC(+D40*3.3058,-1)</f>
        <v>141810</v>
      </c>
    </row>
    <row r="41" spans="1:7" x14ac:dyDescent="0.3">
      <c r="A41" s="2">
        <v>2</v>
      </c>
      <c r="C41" s="38" t="s">
        <v>13</v>
      </c>
      <c r="D41" s="42">
        <f>TRUNC(189904,-1)</f>
        <v>189900</v>
      </c>
      <c r="E41" s="63">
        <f t="shared" si="1"/>
        <v>627770</v>
      </c>
    </row>
    <row r="42" spans="1:7" x14ac:dyDescent="0.3">
      <c r="A42" s="2">
        <v>3</v>
      </c>
      <c r="C42" s="38" t="s">
        <v>14</v>
      </c>
      <c r="D42" s="42">
        <f>TRUNC(18350,-1)</f>
        <v>18350</v>
      </c>
      <c r="E42" s="63">
        <f t="shared" si="1"/>
        <v>60660</v>
      </c>
    </row>
    <row r="43" spans="1:7" x14ac:dyDescent="0.3">
      <c r="A43" s="2">
        <v>4</v>
      </c>
      <c r="C43" s="38" t="s">
        <v>16</v>
      </c>
      <c r="D43" s="42">
        <f>TRUNC(21106,-1)</f>
        <v>21100</v>
      </c>
      <c r="E43" s="63">
        <f t="shared" si="1"/>
        <v>69750</v>
      </c>
    </row>
    <row r="44" spans="1:7" x14ac:dyDescent="0.3">
      <c r="A44" s="2">
        <v>5</v>
      </c>
      <c r="C44" s="38" t="s">
        <v>17</v>
      </c>
      <c r="D44" s="42">
        <f>TRUNC(31702,-1)</f>
        <v>31700</v>
      </c>
      <c r="E44" s="63">
        <f t="shared" si="1"/>
        <v>104790</v>
      </c>
    </row>
    <row r="45" spans="1:7" x14ac:dyDescent="0.3">
      <c r="A45" s="2">
        <v>6</v>
      </c>
      <c r="C45" s="38" t="s">
        <v>18</v>
      </c>
      <c r="D45" s="42">
        <f>TRUNC(7028,-1)</f>
        <v>7020</v>
      </c>
      <c r="E45" s="63">
        <f t="shared" si="1"/>
        <v>23200</v>
      </c>
    </row>
    <row r="46" spans="1:7" x14ac:dyDescent="0.3">
      <c r="A46" s="2">
        <v>7</v>
      </c>
      <c r="C46" s="38" t="s">
        <v>19</v>
      </c>
      <c r="D46" s="42">
        <f>TRUNC(62815,-1)</f>
        <v>62810</v>
      </c>
      <c r="E46" s="63">
        <f t="shared" si="1"/>
        <v>207630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TRUNC(72779,-1)</f>
        <v>72770</v>
      </c>
      <c r="E48" s="63">
        <f t="shared" si="1"/>
        <v>240560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TRUNC(26241,-1)</f>
        <v>26240</v>
      </c>
      <c r="E49" s="63">
        <f t="shared" si="1"/>
        <v>86740</v>
      </c>
    </row>
    <row r="50" spans="1:7" x14ac:dyDescent="0.3">
      <c r="A50" s="2">
        <v>11</v>
      </c>
      <c r="C50" s="38" t="s">
        <v>155</v>
      </c>
      <c r="D50" s="42">
        <f>TRUNC(54869,-1)</f>
        <v>54860</v>
      </c>
      <c r="E50" s="63">
        <f t="shared" si="1"/>
        <v>181350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TRUNC(10958,-1)</f>
        <v>10950</v>
      </c>
      <c r="E52" s="63">
        <f t="shared" si="1"/>
        <v>36190</v>
      </c>
    </row>
    <row r="53" spans="1:7" x14ac:dyDescent="0.3">
      <c r="A53" s="2">
        <v>14</v>
      </c>
      <c r="C53" s="38" t="s">
        <v>25</v>
      </c>
      <c r="D53" s="42">
        <f>TRUNC(88074,-1)</f>
        <v>88070</v>
      </c>
      <c r="E53" s="63">
        <f t="shared" si="1"/>
        <v>291140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TRUNC(26255+4978+129+17778,-1)</f>
        <v>49140</v>
      </c>
      <c r="E58" s="63">
        <f t="shared" si="1"/>
        <v>162440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TRUNC(190410,-1)</f>
        <v>190410</v>
      </c>
      <c r="E59" s="64">
        <f t="shared" si="1"/>
        <v>629450</v>
      </c>
    </row>
    <row r="60" spans="1:7" x14ac:dyDescent="0.3">
      <c r="A60" s="2">
        <v>21</v>
      </c>
      <c r="C60" s="27" t="s">
        <v>112</v>
      </c>
      <c r="D60" s="39">
        <f>SUM(D40:D59)</f>
        <v>866220</v>
      </c>
      <c r="E60" s="39">
        <f>SUM(E40:E59)</f>
        <v>2863480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TRUNC(5751,-1)</f>
        <v>5750</v>
      </c>
      <c r="E63" s="62">
        <f>TRUNC(+D63*3.3058,-1)</f>
        <v>19000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5750</v>
      </c>
      <c r="E66" s="65">
        <f>SUM(E63:E65)</f>
        <v>19000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TRUNC(11104,-1)</f>
        <v>11100</v>
      </c>
      <c r="E69" s="62">
        <f t="shared" ref="E69:E94" si="2">TRUNC(+D69*3.3058,-1)</f>
        <v>36690</v>
      </c>
    </row>
    <row r="70" spans="1:7" ht="16.5" customHeight="1" x14ac:dyDescent="0.3">
      <c r="A70" s="2">
        <v>2</v>
      </c>
      <c r="C70" s="38" t="s">
        <v>31</v>
      </c>
      <c r="D70" s="42">
        <f>TRUNC(1280,-1)</f>
        <v>1280</v>
      </c>
      <c r="E70" s="63">
        <f t="shared" si="2"/>
        <v>4230</v>
      </c>
    </row>
    <row r="71" spans="1:7" x14ac:dyDescent="0.3">
      <c r="A71" s="2">
        <v>3</v>
      </c>
      <c r="C71" s="38" t="s">
        <v>32</v>
      </c>
      <c r="D71" s="42">
        <f>TRUNC(5548,-1)</f>
        <v>5540</v>
      </c>
      <c r="E71" s="63">
        <f t="shared" si="2"/>
        <v>18310</v>
      </c>
    </row>
    <row r="72" spans="1:7" x14ac:dyDescent="0.3">
      <c r="A72" s="2">
        <v>4</v>
      </c>
      <c r="C72" s="38" t="s">
        <v>33</v>
      </c>
      <c r="D72" s="42">
        <f>TRUNC(5400,-1)</f>
        <v>5400</v>
      </c>
      <c r="E72" s="63">
        <f t="shared" si="2"/>
        <v>17850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TRUNC(28520,-1)</f>
        <v>28520</v>
      </c>
      <c r="E89" s="63">
        <f t="shared" si="2"/>
        <v>94280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TRUNC(5554,-1)</f>
        <v>5550</v>
      </c>
      <c r="E91" s="63">
        <f t="shared" si="2"/>
        <v>18340</v>
      </c>
    </row>
    <row r="92" spans="1:7" x14ac:dyDescent="0.3">
      <c r="A92" s="2">
        <v>24</v>
      </c>
      <c r="C92" s="38" t="s">
        <v>38</v>
      </c>
      <c r="D92" s="42">
        <f>TRUNC(14060,-1)</f>
        <v>14060</v>
      </c>
      <c r="E92" s="63">
        <f t="shared" si="2"/>
        <v>46470</v>
      </c>
    </row>
    <row r="93" spans="1:7" x14ac:dyDescent="0.3">
      <c r="A93" s="2">
        <v>25</v>
      </c>
      <c r="C93" s="38" t="s">
        <v>148</v>
      </c>
      <c r="D93" s="42">
        <f>TRUNC(104878,-1)</f>
        <v>104870</v>
      </c>
      <c r="E93" s="63">
        <f t="shared" si="2"/>
        <v>346670</v>
      </c>
    </row>
    <row r="94" spans="1:7" ht="17.25" thickBot="1" x14ac:dyDescent="0.35">
      <c r="A94" s="2">
        <v>26</v>
      </c>
      <c r="C94" s="38" t="s">
        <v>47</v>
      </c>
      <c r="D94" s="43">
        <f>TRUNC(334+8279+3536,-1)</f>
        <v>12140</v>
      </c>
      <c r="E94" s="64">
        <f t="shared" si="2"/>
        <v>40130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188460</v>
      </c>
      <c r="E95" s="39">
        <f>SUM(E69:E94)</f>
        <v>622970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TRUNC(11870,-1)</f>
        <v>11870</v>
      </c>
      <c r="E98" s="62">
        <f t="shared" ref="E98:E118" si="3">TRUNC(+D98*3.3058,-1)</f>
        <v>39230</v>
      </c>
    </row>
    <row r="99" spans="1:7" x14ac:dyDescent="0.3">
      <c r="A99" s="2">
        <v>2</v>
      </c>
      <c r="C99" s="38" t="s">
        <v>40</v>
      </c>
      <c r="D99" s="42">
        <f>TRUNC(2154,-1)</f>
        <v>2150</v>
      </c>
      <c r="E99" s="63">
        <f t="shared" si="3"/>
        <v>7100</v>
      </c>
    </row>
    <row r="100" spans="1:7" x14ac:dyDescent="0.3">
      <c r="A100" s="2">
        <v>3</v>
      </c>
      <c r="C100" s="38" t="s">
        <v>41</v>
      </c>
      <c r="D100" s="42">
        <f>TRUNC(30463,-1)</f>
        <v>30460</v>
      </c>
      <c r="E100" s="63">
        <f t="shared" si="3"/>
        <v>100690</v>
      </c>
    </row>
    <row r="101" spans="1:7" x14ac:dyDescent="0.3">
      <c r="A101" s="2">
        <v>4</v>
      </c>
      <c r="C101" s="38" t="s">
        <v>42</v>
      </c>
      <c r="D101" s="42">
        <f>TRUNC(5207,-1)</f>
        <v>5200</v>
      </c>
      <c r="E101" s="63">
        <f t="shared" si="3"/>
        <v>17190</v>
      </c>
    </row>
    <row r="102" spans="1:7" x14ac:dyDescent="0.3">
      <c r="A102" s="2">
        <v>5</v>
      </c>
      <c r="C102" s="38" t="s">
        <v>43</v>
      </c>
      <c r="D102" s="42">
        <f>TRUNC(13616,-1)</f>
        <v>13610</v>
      </c>
      <c r="E102" s="63">
        <f t="shared" si="3"/>
        <v>44990</v>
      </c>
    </row>
    <row r="103" spans="1:7" x14ac:dyDescent="0.3">
      <c r="A103" s="2">
        <v>6</v>
      </c>
      <c r="C103" s="38" t="s">
        <v>44</v>
      </c>
      <c r="D103" s="42">
        <f>TRUNC(15772,-1)</f>
        <v>15770</v>
      </c>
      <c r="E103" s="63">
        <f t="shared" si="3"/>
        <v>52130</v>
      </c>
    </row>
    <row r="104" spans="1:7" x14ac:dyDescent="0.3">
      <c r="A104" s="2">
        <v>7</v>
      </c>
      <c r="C104" s="38" t="s">
        <v>45</v>
      </c>
      <c r="D104" s="42">
        <f>TRUNC(4407,-1)</f>
        <v>4400</v>
      </c>
      <c r="E104" s="63">
        <f t="shared" si="3"/>
        <v>14540</v>
      </c>
    </row>
    <row r="105" spans="1:7" x14ac:dyDescent="0.3">
      <c r="A105" s="2">
        <v>8</v>
      </c>
      <c r="C105" s="38" t="s">
        <v>46</v>
      </c>
      <c r="D105" s="42">
        <f>TRUNC(3378,-1)</f>
        <v>3370</v>
      </c>
      <c r="E105" s="63">
        <f t="shared" si="3"/>
        <v>11140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TRUNC(4950,-1)</f>
        <v>4950</v>
      </c>
      <c r="E114" s="63">
        <f t="shared" si="3"/>
        <v>16360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TRUNC(4195,-1)</f>
        <v>4190</v>
      </c>
      <c r="E116" s="63">
        <f t="shared" si="3"/>
        <v>13850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TRUNC(124389,-1)</f>
        <v>124380</v>
      </c>
      <c r="E117" s="63">
        <f t="shared" si="3"/>
        <v>411170</v>
      </c>
    </row>
    <row r="118" spans="1:7" ht="17.25" thickBot="1" x14ac:dyDescent="0.35">
      <c r="A118" s="2">
        <v>21</v>
      </c>
      <c r="C118" s="38" t="s">
        <v>47</v>
      </c>
      <c r="D118" s="43">
        <f>TRUNC(4027,-1)</f>
        <v>4020</v>
      </c>
      <c r="E118" s="64">
        <f t="shared" si="3"/>
        <v>13280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224370</v>
      </c>
      <c r="E119" s="39">
        <f>SUM(E98:E118)</f>
        <v>741670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TRUNC(8476,-1)</f>
        <v>8470</v>
      </c>
      <c r="E125" s="63">
        <f t="shared" si="4"/>
        <v>28000</v>
      </c>
    </row>
    <row r="126" spans="1:7" x14ac:dyDescent="0.3">
      <c r="A126" s="2">
        <v>5</v>
      </c>
      <c r="C126" s="38" t="s">
        <v>53</v>
      </c>
      <c r="D126" s="42">
        <f>TRUNC(535,-1)</f>
        <v>530</v>
      </c>
      <c r="E126" s="63">
        <f t="shared" si="4"/>
        <v>1750</v>
      </c>
    </row>
    <row r="127" spans="1:7" x14ac:dyDescent="0.3">
      <c r="A127" s="2">
        <v>6</v>
      </c>
      <c r="C127" s="38" t="s">
        <v>56</v>
      </c>
      <c r="D127" s="42">
        <f>TRUNC(1154,-1)</f>
        <v>1150</v>
      </c>
      <c r="E127" s="63">
        <f t="shared" si="4"/>
        <v>3800</v>
      </c>
    </row>
    <row r="128" spans="1:7" x14ac:dyDescent="0.3">
      <c r="A128" s="2">
        <v>7</v>
      </c>
      <c r="C128" s="38" t="s">
        <v>46</v>
      </c>
      <c r="D128" s="42">
        <f>TRUNC(3091,-1)</f>
        <v>3090</v>
      </c>
      <c r="E128" s="63">
        <f t="shared" si="4"/>
        <v>10210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TRUNC(15821,-1)</f>
        <v>15820</v>
      </c>
      <c r="E130" s="63">
        <f t="shared" si="4"/>
        <v>52290</v>
      </c>
    </row>
    <row r="131" spans="1:7" x14ac:dyDescent="0.3">
      <c r="A131" s="2">
        <v>10</v>
      </c>
      <c r="C131" s="38" t="s">
        <v>148</v>
      </c>
      <c r="D131" s="42">
        <f>TRUNC(25587,-1)</f>
        <v>25580</v>
      </c>
      <c r="E131" s="63">
        <f t="shared" si="4"/>
        <v>84560</v>
      </c>
    </row>
    <row r="132" spans="1:7" ht="18" thickBot="1" x14ac:dyDescent="0.35">
      <c r="A132" s="2">
        <v>11</v>
      </c>
      <c r="C132" s="38" t="s">
        <v>47</v>
      </c>
      <c r="D132" s="43">
        <f>TRUNC(3098+53,-1)</f>
        <v>3150</v>
      </c>
      <c r="E132" s="64">
        <f t="shared" si="4"/>
        <v>10410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57790</v>
      </c>
      <c r="E133" s="39">
        <f>SUM(E122:E132)</f>
        <v>191020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TRUNC(53,-1)</f>
        <v>50</v>
      </c>
      <c r="E137" s="63">
        <f t="shared" si="5"/>
        <v>160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TRUNC(5999,-1)</f>
        <v>5990</v>
      </c>
      <c r="E138" s="63">
        <f t="shared" si="5"/>
        <v>19800</v>
      </c>
    </row>
    <row r="139" spans="1:7" x14ac:dyDescent="0.3">
      <c r="A139" s="2">
        <v>4</v>
      </c>
      <c r="C139" s="38" t="s">
        <v>61</v>
      </c>
      <c r="D139" s="42">
        <f>TRUNC(3511,-1)</f>
        <v>3510</v>
      </c>
      <c r="E139" s="63">
        <f t="shared" si="5"/>
        <v>11600</v>
      </c>
    </row>
    <row r="140" spans="1:7" x14ac:dyDescent="0.3">
      <c r="A140" s="2">
        <v>5</v>
      </c>
      <c r="C140" s="38" t="s">
        <v>57</v>
      </c>
      <c r="D140" s="42">
        <f>TRUNC(1273,-1)</f>
        <v>1270</v>
      </c>
      <c r="E140" s="63">
        <f t="shared" si="5"/>
        <v>4190</v>
      </c>
    </row>
    <row r="141" spans="1:7" x14ac:dyDescent="0.3">
      <c r="A141" s="2">
        <v>6</v>
      </c>
      <c r="C141" s="38" t="s">
        <v>59</v>
      </c>
      <c r="D141" s="42">
        <f>TRUNC(35571,-1)</f>
        <v>35570</v>
      </c>
      <c r="E141" s="63">
        <f t="shared" si="5"/>
        <v>117580</v>
      </c>
    </row>
    <row r="142" spans="1:7" x14ac:dyDescent="0.3">
      <c r="A142" s="2">
        <v>7</v>
      </c>
      <c r="C142" s="38" t="s">
        <v>58</v>
      </c>
      <c r="D142" s="42">
        <f>TRUNC(16246,-1)</f>
        <v>16240</v>
      </c>
      <c r="E142" s="63">
        <f t="shared" si="5"/>
        <v>53680</v>
      </c>
    </row>
    <row r="143" spans="1:7" x14ac:dyDescent="0.3">
      <c r="A143" s="2">
        <v>8</v>
      </c>
      <c r="C143" s="38" t="s">
        <v>62</v>
      </c>
      <c r="D143" s="42">
        <f>TRUNC(2931,-1)</f>
        <v>2930</v>
      </c>
      <c r="E143" s="63">
        <f t="shared" si="5"/>
        <v>9680</v>
      </c>
    </row>
    <row r="144" spans="1:7" x14ac:dyDescent="0.3">
      <c r="A144" s="2">
        <v>9</v>
      </c>
      <c r="C144" s="38" t="s">
        <v>63</v>
      </c>
      <c r="D144" s="42">
        <f>TRUNC(9040,-1)</f>
        <v>9040</v>
      </c>
      <c r="E144" s="63">
        <f t="shared" si="5"/>
        <v>29880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74600</v>
      </c>
      <c r="E146" s="39">
        <f>SUM(E136:E145)</f>
        <v>246570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TRUNC(10678,-1)</f>
        <v>10670</v>
      </c>
      <c r="E149" s="62">
        <f>TRUNC(+D149*3.3058,-1)</f>
        <v>35270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TRUNC(7111,-1)</f>
        <v>7110</v>
      </c>
      <c r="E150" s="63">
        <f>TRUNC(+D150*3.3058,-1)</f>
        <v>23500</v>
      </c>
    </row>
    <row r="151" spans="1:7" x14ac:dyDescent="0.3">
      <c r="A151" s="2">
        <v>3</v>
      </c>
      <c r="C151" s="38" t="s">
        <v>50</v>
      </c>
      <c r="D151" s="42">
        <f>TRUNC(25579,-1)</f>
        <v>25570</v>
      </c>
      <c r="E151" s="63">
        <f>TRUNC(+D151*3.3058,-1)</f>
        <v>84520</v>
      </c>
    </row>
    <row r="152" spans="1:7" x14ac:dyDescent="0.3">
      <c r="A152" s="2">
        <v>4</v>
      </c>
      <c r="C152" s="38" t="s">
        <v>47</v>
      </c>
      <c r="D152" s="42">
        <f>TRUNC(234+555,-1)</f>
        <v>780</v>
      </c>
      <c r="E152" s="63">
        <f>TRUNC(+D152*3.3058,-1)</f>
        <v>2570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TRUNC(12199,-1)</f>
        <v>12190</v>
      </c>
      <c r="E153" s="64">
        <f>TRUNC(+D153*3.3058,-1)</f>
        <v>40290</v>
      </c>
    </row>
    <row r="154" spans="1:7" x14ac:dyDescent="0.3">
      <c r="A154" s="2">
        <v>6</v>
      </c>
      <c r="C154" s="27" t="s">
        <v>112</v>
      </c>
      <c r="D154" s="39">
        <f>SUM(D149:D153)</f>
        <v>56320</v>
      </c>
      <c r="E154" s="39">
        <f>SUM(E149:E153)</f>
        <v>186150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2020-12-08T02:15:06Z</dcterms:modified>
</cp:coreProperties>
</file>