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2" i="4" l="1"/>
  <c r="D118" i="4"/>
  <c r="D94" i="4"/>
  <c r="D84" i="4"/>
  <c r="D64" i="4"/>
  <c r="D58" i="4"/>
  <c r="D128" i="4" l="1"/>
  <c r="D132" i="4"/>
  <c r="D124" i="4"/>
  <c r="D125" i="4"/>
  <c r="D122" i="4"/>
  <c r="D123" i="4"/>
  <c r="D126" i="4"/>
  <c r="D104" i="4"/>
  <c r="D100" i="4"/>
  <c r="D102" i="4"/>
  <c r="D103" i="4"/>
  <c r="D108" i="4"/>
  <c r="D99" i="4"/>
  <c r="D105" i="4"/>
  <c r="D98" i="4"/>
  <c r="D115" i="4"/>
  <c r="D116" i="4"/>
  <c r="D76" i="4"/>
  <c r="D79" i="4"/>
  <c r="D69" i="4"/>
  <c r="D81" i="4"/>
  <c r="D92" i="4"/>
  <c r="D89" i="4"/>
  <c r="D85" i="4"/>
  <c r="D71" i="4"/>
  <c r="D73" i="4"/>
  <c r="D72" i="4"/>
  <c r="D55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7" i="4"/>
  <c r="D159" i="4"/>
  <c r="D152" i="4"/>
  <c r="D137" i="4"/>
  <c r="D136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19" i="4"/>
  <c r="E95" i="4"/>
  <c r="E60" i="4"/>
  <c r="E154" i="4"/>
  <c r="E146" i="4"/>
  <c r="D161" i="4"/>
  <c r="D32" i="4" s="1"/>
  <c r="E32" i="4" s="1"/>
  <c r="D154" i="4"/>
  <c r="D31" i="4" s="1"/>
  <c r="E31" i="4" s="1"/>
  <c r="D146" i="4"/>
  <c r="D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0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<sst xmlns="http://schemas.openxmlformats.org/spreadsheetml/2006/main" count="396" uniqueCount="271">
  <si>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</si>
  <si>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</si>
  <si>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</si>
  <si>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</si>
  <si>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</si>
  <si>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</si>
  <si>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</si>
  <si>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</si>
  <si>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</si>
  <si>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</si>
  <si>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</si>
  <si>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</si>
  <si>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</si>
  <si>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</si>
  <si>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</si>
  <si>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</si>
  <si>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</si>
  <si>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</si>
  <si>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</si>
  <si>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</si>
  <si>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</si>
  <si>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</si>
  <si>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</si>
  <si>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</si>
  <si>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</si>
  <si>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</si>
  <si>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</si>
  <si>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</si>
  <si>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</si>
  <si>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</si>
  <si>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</si>
  <si>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</si>
  <si>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</si>
  <si>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</si>
  <si>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</si>
  <si>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</si>
  <si>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</si>
  <si>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</si>
  <si>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</si>
  <si>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</si>
  <si>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</si>
  <si>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</si>
  <si>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</si>
  <si>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</si>
  <si>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</si>
  <si>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</si>
  <si>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</si>
  <si>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</si>
  <si>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</si>
  <si>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</si>
  <si>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</si>
  <si>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</si>
  <si>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</si>
  <si>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</si>
  <si>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</si>
  <si>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</si>
  <si>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</si>
  <si>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</si>
  <si>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</si>
  <si>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</si>
  <si>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</si>
  <si>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</si>
  <si>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</si>
  <si>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</si>
  <si>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</si>
  <si>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</si>
  <si>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</si>
  <si>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</si>
  <si>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</si>
  <si>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</si>
  <si>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</si>
  <si>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</si>
  <si>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</si>
  <si>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</si>
  <si>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</si>
  <si>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</si>
  <si>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</si>
  <si>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</si>
  <si>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</si>
  <si>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</si>
  <si>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</si>
  <si>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</si>
  <si>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</si>
  <si>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</si>
  <si>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</si>
  <si>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</si>
  <si>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</si>
  <si>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</si>
  <si>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</si>
  <si>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</si>
  <si>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</si>
  <si>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</si>
  <si>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</si>
  <si>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</si>
  <si>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</si>
  <si>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</si>
  <si>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</si>
  <si>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</si>
  <si>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</si>
  <si>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</si>
  <si>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</si>
  <si>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</si>
  <si>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</si>
  <si>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</si>
  <si>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</si>
  <si>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</si>
  <si>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</si>
  <si>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</si>
  <si>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</si>
  <si>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</si>
  <si>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</si>
  <si>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</si>
  <si>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</si>
  <si>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</si>
  <si>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</si>
  <si>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</si>
  <si>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</si>
  <si>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</si>
  <si>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</si>
  <si>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</si>
  <si>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</si>
  <si>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</si>
  <si>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</si>
  <si>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</si>
  <si>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</si>
  <si>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</si>
  <si>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</si>
  <si>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</si>
  <si>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</si>
  <si>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</si>
  <si>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</si>
  <si>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</si>
  <si>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</si>
  <si>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</si>
  <si>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</si>
  <si>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</si>
  <si>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</si>
  <si>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</si>
  <si>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</si>
  <si>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</si>
  <si>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</si>
  <si>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</si>
  <si>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</si>
  <si>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</si>
  <si>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</si>
  <si>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</si>
  <si>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</si>
  <si>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</si>
  <si>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</si>
  <si>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</si>
  <si>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</si>
  <si>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</si>
  <si>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</si>
  <si>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</si>
  <si>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</si>
  <si>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</si>
  <si>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</si>
  <si>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</si>
  <si>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</si>
  <si>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</si>
  <si>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</si>
  <si>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</si>
  <si>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</si>
  <si>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</si>
  <si>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</si>
  <si>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</si>
  <si>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</si>
  <si>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</si>
  <si>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</si>
  <si>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</si>
  <si>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</si>
  <si>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</si>
  <si>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</si>
  <si>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</si>
  <si>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</si>
  <si>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</si>
  <si>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</si>
  <si>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</si>
  <si>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</si>
  <si>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</si>
  <si>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</si>
  <si>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</si>
  <si>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</si>
  <si>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</si>
  <si>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</si>
  <si>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</si>
  <si>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</si>
  <si>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</si>
  <si>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</si>
  <si>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</si>
  <si>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</si>
  <si>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</si>
  <si>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</si>
  <si>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</si>
  <si>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</si>
  <si>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</si>
  <si>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</si>
  <si>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</si>
  <si>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</si>
  <si>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</si>
  <si>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</si>
  <si>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</si>
  <si>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</si>
  <si>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</si>
  <si>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</si>
  <si>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</si>
  <si>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</si>
  <si>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</si>
  <si>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</si>
  <si>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</si>
  <si>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</si>
  <si>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</si>
  <si>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</si>
  <si>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</si>
  <si>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</si>
  <si>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</si>
  <si>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</si>
  <si>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</si>
  <si>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</si>
  <si>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</si>
  <si>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</si>
  <si>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</si>
  <si>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</si>
  <si>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</si>
  <si>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</si>
  <si>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</si>
  <si>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</si>
  <si>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</si>
  <si>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</si>
  <si>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</si>
  <si>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</si>
  <si>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</si>
  <si>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</si>
  <si>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</si>
  <si>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</si>
  <si>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</si>
  <si>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</si>
  <si>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</si>
  <si>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</si>
  <si>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</si>
  <si>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</si>
  <si>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</si>
  <si>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</si>
  <si>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</si>
  <si>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</si>
  <si>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</si>
  <si>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</si>
  <si>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</si>
  <si>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00고등학교 신축공사</t>
    <phoneticPr fontId="2" type="noConversion"/>
  </si>
  <si>
    <t>교육연구</t>
  </si>
  <si>
    <t>세종시</t>
  </si>
  <si>
    <t>기계 소화설비공사</t>
    <phoneticPr fontId="2" type="noConversion"/>
  </si>
  <si>
    <t>전기 소방공사</t>
    <phoneticPr fontId="2" type="noConversion"/>
  </si>
  <si>
    <t>부대토목공사</t>
    <phoneticPr fontId="2" type="noConversion"/>
  </si>
  <si>
    <t>부대조경공사</t>
    <phoneticPr fontId="2" type="noConversion"/>
  </si>
  <si>
    <t>환기덕트공사</t>
    <phoneticPr fontId="2" type="noConversion"/>
  </si>
  <si>
    <t>특고인입설비공사</t>
    <phoneticPr fontId="2" type="noConversion"/>
  </si>
  <si>
    <t>환기장치설비공사</t>
    <phoneticPr fontId="2" type="noConversion"/>
  </si>
  <si>
    <t>전열설비공사,전열설비공사(상시용)</t>
    <phoneticPr fontId="2" type="noConversion"/>
  </si>
  <si>
    <t>전화설비공사,LAN설비공사</t>
    <phoneticPr fontId="2" type="noConversion"/>
  </si>
  <si>
    <t>CCTV설비공사</t>
    <phoneticPr fontId="2" type="noConversion"/>
  </si>
  <si>
    <t>토공사,기타공사,조례대공사,교문공사,골재대및운반비,작업부산물</t>
    <phoneticPr fontId="2" type="noConversion"/>
  </si>
  <si>
    <t>냉난반기및전열교환기부대공사</t>
    <phoneticPr fontId="2" type="noConversion"/>
  </si>
  <si>
    <t>관정시설설치공사,급식소위생배관공사,무대막설치공사,바닥난방설치공사,쓰레기이송설비공사,옥외위생배관공사</t>
    <phoneticPr fontId="2" type="noConversion"/>
  </si>
  <si>
    <t>외등설비공사,태양광설비공사,오토레벨설비공사</t>
    <phoneticPr fontId="2" type="noConversion"/>
  </si>
  <si>
    <t>자동승강장장치설비공사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</si>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</sst>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16833</v>
      </c>
      <c r="D7" s="36">
        <f>+C7/3.3058</f>
        <v>5091.9595861818625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6740</v>
      </c>
      <c r="E24" s="58">
        <f t="shared" ref="E24:E33" si="0">TRUNC(+D24*3.3058,-1)</f>
        <v>22280</v>
      </c>
    </row>
    <row r="25" spans="1:5" x14ac:dyDescent="0.3">
      <c r="B25" s="2">
        <v>2</v>
      </c>
      <c r="C25" s="35" t="s">
        <v>111</v>
      </c>
      <c r="D25" s="45">
        <f>+D60</f>
        <v>483260</v>
      </c>
      <c r="E25" s="59">
        <f t="shared" si="0"/>
        <v>1597560</v>
      </c>
    </row>
    <row r="26" spans="1:5" x14ac:dyDescent="0.3">
      <c r="B26" s="2">
        <v>3</v>
      </c>
      <c r="C26" s="35" t="s">
        <v>95</v>
      </c>
      <c r="D26" s="45">
        <f>+D66</f>
        <v>7550</v>
      </c>
      <c r="E26" s="59">
        <f t="shared" si="0"/>
        <v>24950</v>
      </c>
    </row>
    <row r="27" spans="1:5" x14ac:dyDescent="0.3">
      <c r="B27" s="2">
        <v>4</v>
      </c>
      <c r="C27" s="35" t="s">
        <v>96</v>
      </c>
      <c r="D27" s="45">
        <f>+D95</f>
        <v>106390</v>
      </c>
      <c r="E27" s="59">
        <f t="shared" si="0"/>
        <v>351700</v>
      </c>
    </row>
    <row r="28" spans="1:5" x14ac:dyDescent="0.3">
      <c r="B28" s="2">
        <v>5</v>
      </c>
      <c r="C28" s="35" t="s">
        <v>97</v>
      </c>
      <c r="D28" s="45">
        <f>+D119</f>
        <v>64850</v>
      </c>
      <c r="E28" s="59">
        <f t="shared" si="0"/>
        <v>214380</v>
      </c>
    </row>
    <row r="29" spans="1:5" x14ac:dyDescent="0.3">
      <c r="B29" s="2">
        <v>6</v>
      </c>
      <c r="C29" s="35" t="s">
        <v>98</v>
      </c>
      <c r="D29" s="45">
        <f>+D133</f>
        <v>32640</v>
      </c>
      <c r="E29" s="59">
        <f t="shared" si="0"/>
        <v>107900</v>
      </c>
    </row>
    <row r="30" spans="1:5" x14ac:dyDescent="0.3">
      <c r="B30" s="2">
        <v>7</v>
      </c>
      <c r="C30" s="35" t="s">
        <v>99</v>
      </c>
      <c r="D30" s="45">
        <f>+D146</f>
        <v>29250</v>
      </c>
      <c r="E30" s="59">
        <f t="shared" si="0"/>
        <v>96690</v>
      </c>
    </row>
    <row r="31" spans="1:5" x14ac:dyDescent="0.3">
      <c r="B31" s="2">
        <v>8</v>
      </c>
      <c r="C31" s="35" t="s">
        <v>100</v>
      </c>
      <c r="D31" s="45">
        <f>+D154</f>
        <v>21990</v>
      </c>
      <c r="E31" s="59">
        <f t="shared" si="0"/>
        <v>72690</v>
      </c>
    </row>
    <row r="32" spans="1:5" x14ac:dyDescent="0.3">
      <c r="B32" s="2">
        <v>9</v>
      </c>
      <c r="C32" s="35" t="s">
        <v>101</v>
      </c>
      <c r="D32" s="45">
        <f>+D161</f>
        <v>19340</v>
      </c>
      <c r="E32" s="59">
        <f t="shared" si="0"/>
        <v>63930</v>
      </c>
    </row>
    <row r="33" spans="1:7" x14ac:dyDescent="0.3">
      <c r="B33" s="2">
        <v>10</v>
      </c>
      <c r="C33" s="35" t="s">
        <v>154</v>
      </c>
      <c r="D33" s="53">
        <f>TRUNC(SUM(D24:D32)*0.275,-1)</f>
        <v>212300</v>
      </c>
      <c r="E33" s="60">
        <f t="shared" si="0"/>
        <v>701820</v>
      </c>
    </row>
    <row r="34" spans="1:7" x14ac:dyDescent="0.3">
      <c r="C34" s="35" t="s">
        <v>112</v>
      </c>
      <c r="D34" s="44">
        <f>SUM(D24:D33)</f>
        <v>984310</v>
      </c>
      <c r="E34" s="44">
        <f>SUM(E24:E33)</f>
        <v>3253900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TRUNC(6744,-1)</f>
        <v>6740</v>
      </c>
      <c r="E37" s="61">
        <f>TRUNC(+D37*3.3058,-1)</f>
        <v>22280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266</v>
      </c>
      <c r="E39" s="67" t="s">
        <v>267</v>
      </c>
      <c r="G39" s="68"/>
    </row>
    <row r="40" spans="1:7" x14ac:dyDescent="0.3">
      <c r="A40" s="2">
        <v>1</v>
      </c>
      <c r="C40" s="38" t="s">
        <v>15</v>
      </c>
      <c r="D40" s="40">
        <f>TRUNC(25725,-1)</f>
        <v>25720</v>
      </c>
      <c r="E40" s="62">
        <f t="shared" ref="E40:E59" si="1">TRUNC(+D40*3.3058,-1)</f>
        <v>85020</v>
      </c>
    </row>
    <row r="41" spans="1:7" x14ac:dyDescent="0.3">
      <c r="A41" s="2">
        <v>2</v>
      </c>
      <c r="C41" s="38" t="s">
        <v>13</v>
      </c>
      <c r="D41" s="42">
        <f>TRUNC(92125,-1)</f>
        <v>92120</v>
      </c>
      <c r="E41" s="63">
        <f t="shared" si="1"/>
        <v>304530</v>
      </c>
    </row>
    <row r="42" spans="1:7" x14ac:dyDescent="0.3">
      <c r="A42" s="2">
        <v>3</v>
      </c>
      <c r="C42" s="38" t="s">
        <v>14</v>
      </c>
      <c r="D42" s="42">
        <f>TRUNC(9438,-1)</f>
        <v>9430</v>
      </c>
      <c r="E42" s="63">
        <f t="shared" si="1"/>
        <v>31170</v>
      </c>
    </row>
    <row r="43" spans="1:7" x14ac:dyDescent="0.3">
      <c r="A43" s="2">
        <v>4</v>
      </c>
      <c r="C43" s="38" t="s">
        <v>16</v>
      </c>
      <c r="D43" s="42">
        <f>TRUNC(16195,-1)</f>
        <v>16190</v>
      </c>
      <c r="E43" s="63">
        <f t="shared" si="1"/>
        <v>53520</v>
      </c>
    </row>
    <row r="44" spans="1:7" x14ac:dyDescent="0.3">
      <c r="A44" s="2">
        <v>5</v>
      </c>
      <c r="C44" s="38" t="s">
        <v>17</v>
      </c>
      <c r="D44" s="42">
        <f>TRUNC(16671,-1)</f>
        <v>16670</v>
      </c>
      <c r="E44" s="63">
        <f t="shared" si="1"/>
        <v>55100</v>
      </c>
    </row>
    <row r="45" spans="1:7" x14ac:dyDescent="0.3">
      <c r="A45" s="2">
        <v>6</v>
      </c>
      <c r="C45" s="38" t="s">
        <v>18</v>
      </c>
      <c r="D45" s="42">
        <f>TRUNC(8461,-1)</f>
        <v>8460</v>
      </c>
      <c r="E45" s="63">
        <f t="shared" si="1"/>
        <v>27960</v>
      </c>
    </row>
    <row r="46" spans="1:7" x14ac:dyDescent="0.3">
      <c r="A46" s="2">
        <v>7</v>
      </c>
      <c r="C46" s="38" t="s">
        <v>19</v>
      </c>
      <c r="D46" s="42">
        <f>TRUNC(49253,-1)</f>
        <v>49250</v>
      </c>
      <c r="E46" s="63">
        <f t="shared" si="1"/>
        <v>162810</v>
      </c>
    </row>
    <row r="47" spans="1:7" x14ac:dyDescent="0.3">
      <c r="A47" s="2">
        <v>8</v>
      </c>
      <c r="C47" s="38" t="s">
        <v>20</v>
      </c>
      <c r="D47" s="42">
        <f>TRUNC(27516,-1)</f>
        <v>27510</v>
      </c>
      <c r="E47" s="63">
        <f t="shared" si="1"/>
        <v>90940</v>
      </c>
    </row>
    <row r="48" spans="1:7" x14ac:dyDescent="0.3">
      <c r="A48" s="2">
        <v>9</v>
      </c>
      <c r="C48" s="38" t="s">
        <v>21</v>
      </c>
      <c r="D48" s="42">
        <f>TRUNC(94921,-1)</f>
        <v>94920</v>
      </c>
      <c r="E48" s="63">
        <f t="shared" si="1"/>
        <v>313780</v>
      </c>
    </row>
    <row r="49" spans="1:7" x14ac:dyDescent="0.3">
      <c r="A49" s="2">
        <v>10</v>
      </c>
      <c r="C49" s="38" t="s">
        <v>22</v>
      </c>
      <c r="D49" s="42">
        <f>TRUNC(11335,-1)</f>
        <v>11330</v>
      </c>
      <c r="E49" s="63">
        <f t="shared" si="1"/>
        <v>37450</v>
      </c>
    </row>
    <row r="50" spans="1:7" x14ac:dyDescent="0.3">
      <c r="A50" s="2">
        <v>11</v>
      </c>
      <c r="C50" s="38" t="s">
        <v>155</v>
      </c>
      <c r="D50" s="42">
        <f>TRUNC(33001,-1)</f>
        <v>33000</v>
      </c>
      <c r="E50" s="63">
        <f t="shared" si="1"/>
        <v>109090</v>
      </c>
    </row>
    <row r="51" spans="1:7" x14ac:dyDescent="0.3">
      <c r="A51" s="2">
        <v>12</v>
      </c>
      <c r="C51" s="38" t="s">
        <v>23</v>
      </c>
      <c r="D51" s="42">
        <f>TRUNC(24500,-1)</f>
        <v>24500</v>
      </c>
      <c r="E51" s="63">
        <f t="shared" si="1"/>
        <v>80990</v>
      </c>
    </row>
    <row r="52" spans="1:7" x14ac:dyDescent="0.3">
      <c r="A52" s="2">
        <v>13</v>
      </c>
      <c r="C52" s="38" t="s">
        <v>24</v>
      </c>
      <c r="D52" s="42">
        <f>TRUNC(5230,-1)</f>
        <v>5230</v>
      </c>
      <c r="E52" s="63">
        <f t="shared" si="1"/>
        <v>17280</v>
      </c>
    </row>
    <row r="53" spans="1:7" x14ac:dyDescent="0.3">
      <c r="A53" s="2">
        <v>14</v>
      </c>
      <c r="C53" s="38" t="s">
        <v>25</v>
      </c>
      <c r="D53" s="42">
        <f>TRUNC(42733,-1)</f>
        <v>42730</v>
      </c>
      <c r="E53" s="63">
        <f t="shared" si="1"/>
        <v>141250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TRUNC(11728,-1)</f>
        <v>11720</v>
      </c>
      <c r="E55" s="63">
        <f t="shared" si="1"/>
        <v>38740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TRUNC(6011+1052+1821+501+5923-827,-1)</f>
        <v>14480</v>
      </c>
      <c r="E58" s="63">
        <f t="shared" si="1"/>
        <v>47860</v>
      </c>
      <c r="F58" s="2" t="s">
        <v>261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483260</v>
      </c>
      <c r="E60" s="39">
        <f>SUM(E40:E59)</f>
        <v>1597490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f>TRUNC(7557,-1)</f>
        <v>7550</v>
      </c>
      <c r="E64" s="63">
        <f>TRUNC(+D64*3.3058,-1)</f>
        <v>24950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7550</v>
      </c>
      <c r="E66" s="65">
        <f>SUM(E63:E65)</f>
        <v>24950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TRUNC(3479,-1)</f>
        <v>3470</v>
      </c>
      <c r="E69" s="62">
        <f t="shared" ref="E69:E94" si="2">TRUNC(+D69*3.3058,-1)</f>
        <v>11470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TRUNC(4342,-1)</f>
        <v>4340</v>
      </c>
      <c r="E71" s="63">
        <f t="shared" si="2"/>
        <v>14340</v>
      </c>
    </row>
    <row r="72" spans="1:7" x14ac:dyDescent="0.3">
      <c r="A72" s="2">
        <v>4</v>
      </c>
      <c r="C72" s="38" t="s">
        <v>33</v>
      </c>
      <c r="D72" s="42">
        <f>TRUNC(1677,-1)</f>
        <v>1670</v>
      </c>
      <c r="E72" s="63">
        <f t="shared" si="2"/>
        <v>5520</v>
      </c>
    </row>
    <row r="73" spans="1:7" x14ac:dyDescent="0.3">
      <c r="A73" s="2">
        <v>5</v>
      </c>
      <c r="C73" s="38" t="s">
        <v>34</v>
      </c>
      <c r="D73" s="42">
        <f>TRUNC(7939,-1)</f>
        <v>7930</v>
      </c>
      <c r="E73" s="63">
        <f t="shared" si="2"/>
        <v>26210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TRUNC(56178,-1)</f>
        <v>56170</v>
      </c>
      <c r="E76" s="63">
        <f t="shared" si="2"/>
        <v>185680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TRUNC(2820,-1)</f>
        <v>2820</v>
      </c>
      <c r="E79" s="63">
        <f t="shared" si="2"/>
        <v>9320</v>
      </c>
      <c r="F79" s="2" t="s">
        <v>255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TRUNC(1899,-1)</f>
        <v>1890</v>
      </c>
      <c r="E81" s="63">
        <f t="shared" si="2"/>
        <v>6240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TRUNC(209,-1)</f>
        <v>200</v>
      </c>
      <c r="E84" s="63">
        <f t="shared" si="2"/>
        <v>660</v>
      </c>
      <c r="F84" s="2" t="s">
        <v>262</v>
      </c>
    </row>
    <row r="85" spans="1:7" x14ac:dyDescent="0.3">
      <c r="A85" s="2">
        <v>17</v>
      </c>
      <c r="C85" s="38" t="s">
        <v>123</v>
      </c>
      <c r="D85" s="42">
        <f>TRUNC(607,-1)</f>
        <v>600</v>
      </c>
      <c r="E85" s="63">
        <f t="shared" si="2"/>
        <v>1980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TRUNC(4130,-1)</f>
        <v>4130</v>
      </c>
      <c r="E89" s="63">
        <f t="shared" si="2"/>
        <v>13650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TRUNC(10056,-1)</f>
        <v>10050</v>
      </c>
      <c r="E92" s="63">
        <f t="shared" si="2"/>
        <v>33220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TRUNC(1328+897+405+753+8381+1364,-1)</f>
        <v>13120</v>
      </c>
      <c r="E94" s="64">
        <f t="shared" si="2"/>
        <v>43370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106390</v>
      </c>
      <c r="E95" s="39">
        <f>SUM(E69:E94)</f>
        <v>351660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TRUNC(10388,-1)</f>
        <v>10380</v>
      </c>
      <c r="E98" s="62">
        <f t="shared" ref="E98:E118" si="3">TRUNC(+D98*3.3058,-1)</f>
        <v>34310</v>
      </c>
    </row>
    <row r="99" spans="1:7" x14ac:dyDescent="0.3">
      <c r="A99" s="2">
        <v>2</v>
      </c>
      <c r="C99" s="38" t="s">
        <v>40</v>
      </c>
      <c r="D99" s="42">
        <f>TRUNC(3337,-1)</f>
        <v>3330</v>
      </c>
      <c r="E99" s="63">
        <f t="shared" si="3"/>
        <v>11000</v>
      </c>
    </row>
    <row r="100" spans="1:7" x14ac:dyDescent="0.3">
      <c r="A100" s="2">
        <v>3</v>
      </c>
      <c r="C100" s="38" t="s">
        <v>41</v>
      </c>
      <c r="D100" s="42">
        <f>TRUNC(21935,-1)</f>
        <v>21930</v>
      </c>
      <c r="E100" s="63">
        <f t="shared" si="3"/>
        <v>72490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TRUNC(8885+1899,-1)</f>
        <v>10780</v>
      </c>
      <c r="E102" s="63">
        <f t="shared" si="3"/>
        <v>35630</v>
      </c>
      <c r="F102" s="2" t="s">
        <v>258</v>
      </c>
    </row>
    <row r="103" spans="1:7" x14ac:dyDescent="0.3">
      <c r="A103" s="2">
        <v>6</v>
      </c>
      <c r="C103" s="38" t="s">
        <v>44</v>
      </c>
      <c r="D103" s="42">
        <f>TRUNC(1115,-1)</f>
        <v>1110</v>
      </c>
      <c r="E103" s="63">
        <f t="shared" si="3"/>
        <v>3660</v>
      </c>
      <c r="F103" s="2" t="s">
        <v>257</v>
      </c>
    </row>
    <row r="104" spans="1:7" x14ac:dyDescent="0.3">
      <c r="A104" s="2">
        <v>7</v>
      </c>
      <c r="C104" s="38" t="s">
        <v>45</v>
      </c>
      <c r="D104" s="42">
        <f>TRUNC(1587,-1)</f>
        <v>1580</v>
      </c>
      <c r="E104" s="63">
        <f t="shared" si="3"/>
        <v>5220</v>
      </c>
    </row>
    <row r="105" spans="1:7" x14ac:dyDescent="0.3">
      <c r="A105" s="2">
        <v>8</v>
      </c>
      <c r="C105" s="38" t="s">
        <v>46</v>
      </c>
      <c r="D105" s="42">
        <f>TRUNC(5933,-1)</f>
        <v>5930</v>
      </c>
      <c r="E105" s="63">
        <f t="shared" si="3"/>
        <v>19600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TRUNC(3400,-1)</f>
        <v>3400</v>
      </c>
      <c r="E108" s="63">
        <f t="shared" si="3"/>
        <v>11230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f>TRUNC(705,-1)</f>
        <v>700</v>
      </c>
      <c r="E112" s="63">
        <f t="shared" si="3"/>
        <v>2310</v>
      </c>
      <c r="F112" s="2" t="s">
        <v>265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TRUNC(380,-1)</f>
        <v>380</v>
      </c>
      <c r="E115" s="63">
        <f t="shared" si="3"/>
        <v>1250</v>
      </c>
    </row>
    <row r="116" spans="1:7" x14ac:dyDescent="0.3">
      <c r="A116" s="2">
        <v>19</v>
      </c>
      <c r="C116" s="38" t="s">
        <v>115</v>
      </c>
      <c r="D116" s="42">
        <f>TRUNC(715,-1)</f>
        <v>710</v>
      </c>
      <c r="E116" s="63">
        <f t="shared" si="3"/>
        <v>2340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TRUNC(2414+204+2005,-1)</f>
        <v>4620</v>
      </c>
      <c r="E118" s="64">
        <f t="shared" si="3"/>
        <v>15270</v>
      </c>
      <c r="F118" s="2" t="s">
        <v>264</v>
      </c>
    </row>
    <row r="119" spans="1:7" x14ac:dyDescent="0.3">
      <c r="A119" s="2">
        <v>22</v>
      </c>
      <c r="C119" s="27" t="s">
        <v>112</v>
      </c>
      <c r="D119" s="39">
        <f>SUM(D98:D118)</f>
        <v>64850</v>
      </c>
      <c r="E119" s="39">
        <f>SUM(E98:E118)</f>
        <v>214310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TRUNC(2385,-1)</f>
        <v>2380</v>
      </c>
      <c r="E122" s="62">
        <f t="shared" ref="E122:E132" si="4">TRUNC(+D122*3.3058,-1)</f>
        <v>7860</v>
      </c>
    </row>
    <row r="123" spans="1:7" x14ac:dyDescent="0.3">
      <c r="A123" s="2">
        <v>2</v>
      </c>
      <c r="C123" s="38" t="s">
        <v>124</v>
      </c>
      <c r="D123" s="42">
        <f>TRUNC(5865+7480,-1)</f>
        <v>13340</v>
      </c>
      <c r="E123" s="63">
        <f t="shared" si="4"/>
        <v>44090</v>
      </c>
      <c r="F123" s="2" t="s">
        <v>259</v>
      </c>
    </row>
    <row r="124" spans="1:7" x14ac:dyDescent="0.3">
      <c r="A124" s="2">
        <v>3</v>
      </c>
      <c r="C124" s="38" t="s">
        <v>151</v>
      </c>
      <c r="D124" s="42">
        <f>TRUNC(1175,-1)</f>
        <v>1170</v>
      </c>
      <c r="E124" s="63">
        <f t="shared" si="4"/>
        <v>3860</v>
      </c>
    </row>
    <row r="125" spans="1:7" x14ac:dyDescent="0.3">
      <c r="A125" s="2">
        <v>4</v>
      </c>
      <c r="C125" s="38" t="s">
        <v>138</v>
      </c>
      <c r="D125" s="42">
        <f>TRUNC(6333,-1)</f>
        <v>6330</v>
      </c>
      <c r="E125" s="63">
        <f t="shared" si="4"/>
        <v>20920</v>
      </c>
    </row>
    <row r="126" spans="1:7" x14ac:dyDescent="0.3">
      <c r="A126" s="2">
        <v>5</v>
      </c>
      <c r="C126" s="38" t="s">
        <v>53</v>
      </c>
      <c r="D126" s="42">
        <f>TRUNC(2205,-1)</f>
        <v>2200</v>
      </c>
      <c r="E126" s="63">
        <f t="shared" si="4"/>
        <v>7270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TRUNC(6629,-1)</f>
        <v>6620</v>
      </c>
      <c r="E128" s="63">
        <f t="shared" si="4"/>
        <v>21880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TRUNC(601,-1)</f>
        <v>600</v>
      </c>
      <c r="E132" s="64">
        <f t="shared" si="4"/>
        <v>1980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32640</v>
      </c>
      <c r="E133" s="39">
        <f>SUM(E122:E132)</f>
        <v>107860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TRUNC(14915,-1)</f>
        <v>14910</v>
      </c>
      <c r="E136" s="62">
        <f t="shared" ref="E136:E145" si="5">TRUNC(+D136*3.3058,-1)</f>
        <v>49280</v>
      </c>
      <c r="F136" s="2" t="s">
        <v>251</v>
      </c>
    </row>
    <row r="137" spans="1:7" x14ac:dyDescent="0.3">
      <c r="A137" s="2">
        <v>2</v>
      </c>
      <c r="C137" s="38" t="s">
        <v>47</v>
      </c>
      <c r="D137" s="42">
        <f>TRUNC(14340,-1)</f>
        <v>14340</v>
      </c>
      <c r="E137" s="63">
        <f t="shared" si="5"/>
        <v>47400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29250</v>
      </c>
      <c r="E146" s="39">
        <f>SUM(E136:E145)</f>
        <v>96680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TRUNC(21998,-1)</f>
        <v>21990</v>
      </c>
      <c r="E152" s="63">
        <f>TRUNC(+D152*3.3058,-1)</f>
        <v>72690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21990</v>
      </c>
      <c r="E154" s="39">
        <f>SUM(E149:E153)</f>
        <v>72690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TRUNC(19340,-1)</f>
        <v>19340</v>
      </c>
      <c r="E159" s="63">
        <f>TRUNC(+D159*3.3058,-1)</f>
        <v>63930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19340</v>
      </c>
      <c r="E161" s="39">
        <f>SUM(E157:E160)</f>
        <v>63930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2020-12-07T09:42:21Z</dcterms:modified>
</cp:coreProperties>
</file>