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4" i="4"/>
  <c r="D143" i="4"/>
  <c r="D142" i="4"/>
  <c r="D141" i="4"/>
  <c r="D140" i="4"/>
  <c r="D139" i="4"/>
  <c r="D138" i="4"/>
  <c r="D137" i="4"/>
  <c r="D132" i="4"/>
  <c r="D131" i="4"/>
  <c r="D130" i="4"/>
  <c r="D128" i="4"/>
  <c r="D127" i="4"/>
  <c r="D126" i="4"/>
  <c r="D125" i="4"/>
  <c r="D124" i="4"/>
  <c r="D122" i="4"/>
  <c r="D118" i="4"/>
  <c r="D117" i="4"/>
  <c r="D114" i="4"/>
  <c r="D105" i="4"/>
  <c r="D102" i="4"/>
  <c r="D100" i="4"/>
  <c r="D99" i="4"/>
  <c r="D98" i="4"/>
  <c r="D94" i="4"/>
  <c r="D92" i="4"/>
  <c r="D91" i="4"/>
  <c r="D90" i="4"/>
  <c r="D89" i="4"/>
  <c r="D75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4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<sst xmlns="http://schemas.openxmlformats.org/spreadsheetml/2006/main" count="393" uniqueCount="268">
  <si>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</si>
  <si>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</si>
  <si>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</si>
  <si>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</si>
  <si>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</si>
  <si>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</si>
  <si>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</si>
  <si>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</si>
  <si>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</si>
  <si>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</si>
  <si>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</si>
  <si>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</si>
  <si>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</si>
  <si>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</si>
  <si>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</si>
  <si>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</si>
  <si>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</si>
  <si>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</si>
  <si>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</si>
  <si>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</si>
  <si>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</si>
  <si>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</si>
  <si>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</si>
  <si>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</si>
  <si>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</si>
  <si>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</si>
  <si>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</si>
  <si>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</si>
  <si>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</si>
  <si>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</si>
  <si>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</si>
  <si>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</si>
  <si>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</si>
  <si>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</si>
  <si>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</si>
  <si>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</si>
  <si>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</si>
  <si>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</si>
  <si>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</si>
  <si>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</si>
  <si>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</si>
  <si>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</si>
  <si>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</si>
  <si>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</si>
  <si>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</si>
  <si>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</si>
  <si>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</si>
  <si>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</si>
  <si>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</si>
  <si>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</si>
  <si>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</si>
  <si>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</si>
  <si>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</si>
  <si>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</si>
  <si>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</si>
  <si>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</si>
  <si>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</si>
  <si>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</si>
  <si>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</si>
  <si>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</si>
  <si>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</si>
  <si>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</si>
  <si>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</si>
  <si>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</si>
  <si>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</si>
  <si>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</si>
  <si>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</si>
  <si>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</si>
  <si>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</si>
  <si>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</si>
  <si>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</si>
  <si>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</si>
  <si>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</si>
  <si>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</si>
  <si>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</si>
  <si>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</si>
  <si>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</si>
  <si>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</si>
  <si>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</si>
  <si>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</si>
  <si>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</si>
  <si>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</si>
  <si>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</si>
  <si>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</si>
  <si>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</si>
  <si>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</si>
  <si>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</si>
  <si>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</si>
  <si>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</si>
  <si>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</si>
  <si>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</si>
  <si>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</si>
  <si>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</si>
  <si>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</si>
  <si>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</si>
  <si>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</si>
  <si>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</si>
  <si>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</si>
  <si>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</si>
  <si>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</si>
  <si>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</si>
  <si>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</si>
  <si>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</si>
  <si>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</si>
  <si>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</si>
  <si>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</si>
  <si>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</si>
  <si>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</si>
  <si>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</si>
  <si>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</si>
  <si>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</si>
  <si>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</si>
  <si>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</si>
  <si>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</si>
  <si>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</si>
  <si>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</si>
  <si>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</si>
  <si>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</si>
  <si>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</si>
  <si>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</si>
  <si>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</si>
  <si>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</si>
  <si>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</si>
  <si>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</si>
  <si>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</si>
  <si>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</si>
  <si>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</si>
  <si>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</si>
  <si>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</si>
  <si>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</si>
  <si>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</si>
  <si>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</si>
  <si>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</si>
  <si>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</si>
  <si>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</si>
  <si>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</si>
  <si>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</si>
  <si>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</si>
  <si>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</si>
  <si>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</si>
  <si>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</si>
  <si>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</si>
  <si>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</si>
  <si>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</si>
  <si>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</si>
  <si>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</si>
  <si>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</si>
  <si>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</si>
  <si>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</si>
  <si>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</si>
  <si>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</si>
  <si>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</si>
  <si>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</si>
  <si>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</si>
  <si>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</si>
  <si>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</si>
  <si>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</si>
  <si>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</si>
  <si>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</si>
  <si>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</si>
  <si>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</si>
  <si>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</si>
  <si>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</si>
  <si>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</si>
  <si>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</si>
  <si>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</si>
  <si>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</si>
  <si>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</si>
  <si>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</si>
  <si>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</si>
  <si>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</si>
  <si>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</si>
  <si>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</si>
  <si>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</si>
  <si>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</si>
  <si>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</si>
  <si>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</si>
  <si>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</si>
  <si>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</si>
  <si>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</si>
  <si>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</si>
  <si>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</si>
  <si>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</si>
  <si>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</si>
  <si>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</si>
  <si>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</si>
  <si>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</si>
  <si>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</si>
  <si>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</si>
  <si>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</si>
  <si>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</si>
  <si>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</si>
  <si>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</si>
  <si>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</si>
  <si>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</si>
  <si>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</si>
  <si>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</si>
  <si>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</si>
  <si>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</si>
  <si>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</si>
  <si>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</si>
  <si>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</si>
  <si>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</si>
  <si>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</si>
  <si>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</si>
  <si>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</si>
  <si>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</si>
  <si>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</si>
  <si>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</si>
  <si>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</si>
  <si>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</si>
  <si>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</si>
  <si>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</si>
  <si>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</si>
  <si>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</si>
  <si>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</si>
  <si>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</si>
  <si>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</si>
  <si>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</si>
  <si>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</si>
  <si>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</si>
  <si>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</si>
  <si>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</si>
  <si>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</si>
  <si>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</si>
  <si>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</si>
  <si>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</si>
  <si>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</si>
  <si>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</si>
  <si>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</si>
  <si>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</si>
  <si>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</si>
  <si>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</si>
  <si>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</si>
  <si>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</si>
  <si>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</si>
  <si>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</si>
  <si>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</si>
  <si>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</si>
  <si>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</si>
  <si>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</si>
  <si>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</si>
  <si>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</si>
  <si>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</si>
  <si>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</si>
  <si>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</si>
  <si>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</si>
  <si>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</si>
  <si>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원주보훈요양원 건립공사(건축)</t>
    <phoneticPr fontId="2" type="noConversion"/>
  </si>
  <si>
    <t>기타</t>
  </si>
  <si>
    <t>강원도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</si>
  <si>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</si>
  <si>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</si>
  <si>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</si>
  <si>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기타공사</t>
    <phoneticPr fontId="2" type="noConversion"/>
  </si>
  <si>
    <t>공조배관공사, 난방배관공사,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</si>
  <si>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</si>
  <si>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</si>
  <si>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</si>
  <si>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 주차관제설비공사, 기타공사</t>
    <phoneticPr fontId="2" type="noConversion"/>
  </si>
  <si>
    <t>옥외소화배관공사, 펌프실배관공사, 기타공사</t>
    <phoneticPr fontId="2" type="noConversion"/>
  </si>
  <si>
    <t>상수도공사, 사급자재비,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</si>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</sst>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10515</v>
      </c>
      <c r="D7" s="36">
        <f>+C7/3.3058</f>
        <v>3180.7731865206606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660920</v>
      </c>
      <c r="E25" s="59">
        <f t="shared" si="0"/>
        <v>2184860</v>
      </c>
    </row>
    <row r="26" spans="1:5" x14ac:dyDescent="0.3">
      <c r="B26" s="2">
        <v>3</v>
      </c>
      <c r="C26" s="35" t="s">
        <v>95</v>
      </c>
      <c r="D26" s="45">
        <f>+D66</f>
        <v>34290</v>
      </c>
      <c r="E26" s="59">
        <f t="shared" si="0"/>
        <v>113350</v>
      </c>
    </row>
    <row r="27" spans="1:5" x14ac:dyDescent="0.3">
      <c r="B27" s="2">
        <v>4</v>
      </c>
      <c r="C27" s="35" t="s">
        <v>96</v>
      </c>
      <c r="D27" s="45">
        <f>+D95</f>
        <v>174730</v>
      </c>
      <c r="E27" s="59">
        <f t="shared" si="0"/>
        <v>577620</v>
      </c>
    </row>
    <row r="28" spans="1:5" x14ac:dyDescent="0.3">
      <c r="B28" s="2">
        <v>5</v>
      </c>
      <c r="C28" s="35" t="s">
        <v>97</v>
      </c>
      <c r="D28" s="45">
        <f>+D119</f>
        <v>162610</v>
      </c>
      <c r="E28" s="59">
        <f t="shared" si="0"/>
        <v>537550</v>
      </c>
    </row>
    <row r="29" spans="1:5" x14ac:dyDescent="0.3">
      <c r="B29" s="2">
        <v>6</v>
      </c>
      <c r="C29" s="35" t="s">
        <v>98</v>
      </c>
      <c r="D29" s="45">
        <f>+D133</f>
        <v>119510</v>
      </c>
      <c r="E29" s="59">
        <f t="shared" si="0"/>
        <v>395070</v>
      </c>
    </row>
    <row r="30" spans="1:5" x14ac:dyDescent="0.3">
      <c r="B30" s="2">
        <v>7</v>
      </c>
      <c r="C30" s="35" t="s">
        <v>99</v>
      </c>
      <c r="D30" s="45">
        <f>+D146</f>
        <v>68340</v>
      </c>
      <c r="E30" s="59">
        <f t="shared" si="0"/>
        <v>225910</v>
      </c>
    </row>
    <row r="31" spans="1:5" x14ac:dyDescent="0.3">
      <c r="B31" s="2">
        <v>8</v>
      </c>
      <c r="C31" s="35" t="s">
        <v>100</v>
      </c>
      <c r="D31" s="45">
        <f>+D154</f>
        <v>27760</v>
      </c>
      <c r="E31" s="59">
        <f t="shared" si="0"/>
        <v>91760</v>
      </c>
    </row>
    <row r="32" spans="1:5" x14ac:dyDescent="0.3">
      <c r="B32" s="2">
        <v>9</v>
      </c>
      <c r="C32" s="35" t="s">
        <v>101</v>
      </c>
      <c r="D32" s="45">
        <f>+D161</f>
        <v>29000</v>
      </c>
      <c r="E32" s="59">
        <f t="shared" si="0"/>
        <v>95860</v>
      </c>
    </row>
    <row r="33" spans="1:7" x14ac:dyDescent="0.3">
      <c r="B33" s="2">
        <v>10</v>
      </c>
      <c r="C33" s="35" t="s">
        <v>154</v>
      </c>
      <c r="D33" s="53">
        <f>TRUNC(SUM(D24:D32)*0.275,-1)</f>
        <v>351210</v>
      </c>
      <c r="E33" s="60">
        <f t="shared" si="0"/>
        <v>1161030</v>
      </c>
    </row>
    <row r="34" spans="1:7" x14ac:dyDescent="0.3">
      <c r="C34" s="35" t="s">
        <v>112</v>
      </c>
      <c r="D34" s="44">
        <f>SUM(D24:D33)</f>
        <v>1628370</v>
      </c>
      <c r="E34" s="44">
        <f>SUM(E24:E33)</f>
        <v>5383010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TRUNC(82238,-1)</f>
        <v>82230</v>
      </c>
      <c r="E40" s="62">
        <f t="shared" ref="E40:E59" si="1">TRUNC(+D40*3.3058,-1)</f>
        <v>271830</v>
      </c>
    </row>
    <row r="41" spans="1:7" x14ac:dyDescent="0.3">
      <c r="A41" s="2">
        <v>2</v>
      </c>
      <c r="C41" s="38" t="s">
        <v>13</v>
      </c>
      <c r="D41" s="42">
        <f>TRUNC(191274,-1)</f>
        <v>191270</v>
      </c>
      <c r="E41" s="63">
        <f t="shared" si="1"/>
        <v>632300</v>
      </c>
    </row>
    <row r="42" spans="1:7" x14ac:dyDescent="0.3">
      <c r="A42" s="2">
        <v>3</v>
      </c>
      <c r="C42" s="38" t="s">
        <v>14</v>
      </c>
      <c r="D42" s="42">
        <f>TRUNC(1184,-1)</f>
        <v>1180</v>
      </c>
      <c r="E42" s="63">
        <f t="shared" si="1"/>
        <v>3900</v>
      </c>
    </row>
    <row r="43" spans="1:7" x14ac:dyDescent="0.3">
      <c r="A43" s="2">
        <v>4</v>
      </c>
      <c r="C43" s="38" t="s">
        <v>16</v>
      </c>
      <c r="D43" s="42">
        <f>TRUNC(19897,-1)</f>
        <v>19890</v>
      </c>
      <c r="E43" s="63">
        <f t="shared" si="1"/>
        <v>65750</v>
      </c>
    </row>
    <row r="44" spans="1:7" x14ac:dyDescent="0.3">
      <c r="A44" s="2">
        <v>5</v>
      </c>
      <c r="C44" s="38" t="s">
        <v>17</v>
      </c>
      <c r="D44" s="42">
        <f>TRUNC(33757,-1)</f>
        <v>33750</v>
      </c>
      <c r="E44" s="63">
        <f t="shared" si="1"/>
        <v>111570</v>
      </c>
    </row>
    <row r="45" spans="1:7" x14ac:dyDescent="0.3">
      <c r="A45" s="2">
        <v>6</v>
      </c>
      <c r="C45" s="38" t="s">
        <v>18</v>
      </c>
      <c r="D45" s="42">
        <f>TRUNC(11557,-1)</f>
        <v>11550</v>
      </c>
      <c r="E45" s="63">
        <f t="shared" si="1"/>
        <v>38180</v>
      </c>
    </row>
    <row r="46" spans="1:7" x14ac:dyDescent="0.3">
      <c r="A46" s="2">
        <v>7</v>
      </c>
      <c r="C46" s="38" t="s">
        <v>19</v>
      </c>
      <c r="D46" s="42">
        <f>TRUNC(1709,-1)</f>
        <v>1700</v>
      </c>
      <c r="E46" s="63">
        <f t="shared" si="1"/>
        <v>5610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TRUNC(46107,-1)</f>
        <v>46100</v>
      </c>
      <c r="E48" s="63">
        <f t="shared" si="1"/>
        <v>152390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TRUNC(9548,-1)</f>
        <v>9540</v>
      </c>
      <c r="E49" s="63">
        <f t="shared" si="1"/>
        <v>31530</v>
      </c>
    </row>
    <row r="50" spans="1:7" x14ac:dyDescent="0.3">
      <c r="A50" s="2">
        <v>11</v>
      </c>
      <c r="C50" s="38" t="s">
        <v>155</v>
      </c>
      <c r="D50" s="42">
        <f>TRUNC(75518,-1)</f>
        <v>75510</v>
      </c>
      <c r="E50" s="63">
        <f t="shared" si="1"/>
        <v>249620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TRUNC(11992,-1)</f>
        <v>11990</v>
      </c>
      <c r="E52" s="63">
        <f t="shared" si="1"/>
        <v>39630</v>
      </c>
    </row>
    <row r="53" spans="1:7" x14ac:dyDescent="0.3">
      <c r="A53" s="2">
        <v>14</v>
      </c>
      <c r="C53" s="38" t="s">
        <v>25</v>
      </c>
      <c r="D53" s="42">
        <f>TRUNC(144095,-1)</f>
        <v>144090</v>
      </c>
      <c r="E53" s="63">
        <f t="shared" si="1"/>
        <v>476330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TRUNC(4438+11364+16323,-1)</f>
        <v>32120</v>
      </c>
      <c r="E58" s="63">
        <f t="shared" si="1"/>
        <v>106180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660920</v>
      </c>
      <c r="E60" s="39">
        <f>SUM(E40:E59)</f>
        <v>2184820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TRUNC(34298,-1)</f>
        <v>34290</v>
      </c>
      <c r="E63" s="62">
        <f>TRUNC(+D63*3.3058,-1)</f>
        <v>113350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34290</v>
      </c>
      <c r="E66" s="65">
        <f>SUM(E63:E65)</f>
        <v>113350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TRUNC(17764,-1)</f>
        <v>17760</v>
      </c>
      <c r="E69" s="62">
        <f t="shared" ref="E69:E94" si="2">TRUNC(+D69*3.3058,-1)</f>
        <v>58710</v>
      </c>
    </row>
    <row r="70" spans="1:7" ht="16.5" customHeight="1" x14ac:dyDescent="0.3">
      <c r="A70" s="2">
        <v>2</v>
      </c>
      <c r="C70" s="38" t="s">
        <v>31</v>
      </c>
      <c r="D70" s="42">
        <f>TRUNC(473,-1)</f>
        <v>470</v>
      </c>
      <c r="E70" s="63">
        <f t="shared" si="2"/>
        <v>1550</v>
      </c>
    </row>
    <row r="71" spans="1:7" x14ac:dyDescent="0.3">
      <c r="A71" s="2">
        <v>3</v>
      </c>
      <c r="C71" s="38" t="s">
        <v>32</v>
      </c>
      <c r="D71" s="42">
        <f>TRUNC(18959,-1)</f>
        <v>18950</v>
      </c>
      <c r="E71" s="63">
        <f t="shared" si="2"/>
        <v>62640</v>
      </c>
    </row>
    <row r="72" spans="1:7" x14ac:dyDescent="0.3">
      <c r="A72" s="2">
        <v>4</v>
      </c>
      <c r="C72" s="38" t="s">
        <v>33</v>
      </c>
      <c r="D72" s="42">
        <f>TRUNC(5586,-1)</f>
        <v>5580</v>
      </c>
      <c r="E72" s="63">
        <f t="shared" si="2"/>
        <v>18440</v>
      </c>
    </row>
    <row r="73" spans="1:7" x14ac:dyDescent="0.3">
      <c r="A73" s="2">
        <v>5</v>
      </c>
      <c r="C73" s="38" t="s">
        <v>34</v>
      </c>
      <c r="D73" s="42">
        <f>TRUNC(14833,-1)</f>
        <v>14830</v>
      </c>
      <c r="E73" s="63">
        <f t="shared" si="2"/>
        <v>49020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TRUNC(1807,-1)</f>
        <v>1800</v>
      </c>
      <c r="E75" s="63">
        <f t="shared" si="2"/>
        <v>5950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TRUNC(17218,-1)</f>
        <v>17210</v>
      </c>
      <c r="E89" s="63">
        <f t="shared" si="2"/>
        <v>56890</v>
      </c>
    </row>
    <row r="90" spans="1:7" x14ac:dyDescent="0.3">
      <c r="A90" s="2">
        <v>22</v>
      </c>
      <c r="C90" s="38" t="s">
        <v>36</v>
      </c>
      <c r="D90" s="42">
        <f>TRUNC(1927,-1)</f>
        <v>1920</v>
      </c>
      <c r="E90" s="63">
        <f t="shared" si="2"/>
        <v>6340</v>
      </c>
    </row>
    <row r="91" spans="1:7" x14ac:dyDescent="0.3">
      <c r="A91" s="2">
        <v>23</v>
      </c>
      <c r="C91" s="38" t="s">
        <v>37</v>
      </c>
      <c r="D91" s="42">
        <f>TRUNC(34661,-1)</f>
        <v>34660</v>
      </c>
      <c r="E91" s="63">
        <f t="shared" si="2"/>
        <v>114570</v>
      </c>
    </row>
    <row r="92" spans="1:7" x14ac:dyDescent="0.3">
      <c r="A92" s="2">
        <v>24</v>
      </c>
      <c r="C92" s="38" t="s">
        <v>38</v>
      </c>
      <c r="D92" s="42">
        <f>TRUNC(9633,-1)</f>
        <v>9630</v>
      </c>
      <c r="E92" s="63">
        <f t="shared" si="2"/>
        <v>31830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TRUNC(34302+1409+16210,-1)</f>
        <v>51920</v>
      </c>
      <c r="E94" s="64">
        <f t="shared" si="2"/>
        <v>171630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174730</v>
      </c>
      <c r="E95" s="39">
        <f>SUM(E69:E94)</f>
        <v>577570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TRUNC(14849,-1)</f>
        <v>14840</v>
      </c>
      <c r="E98" s="62">
        <f t="shared" ref="E98:E118" si="3">TRUNC(+D98*3.3058,-1)</f>
        <v>49050</v>
      </c>
    </row>
    <row r="99" spans="1:7" x14ac:dyDescent="0.3">
      <c r="A99" s="2">
        <v>2</v>
      </c>
      <c r="C99" s="38" t="s">
        <v>40</v>
      </c>
      <c r="D99" s="42">
        <f>TRUNC(15681,-1)</f>
        <v>15680</v>
      </c>
      <c r="E99" s="63">
        <f t="shared" si="3"/>
        <v>51830</v>
      </c>
    </row>
    <row r="100" spans="1:7" x14ac:dyDescent="0.3">
      <c r="A100" s="2">
        <v>3</v>
      </c>
      <c r="C100" s="38" t="s">
        <v>41</v>
      </c>
      <c r="D100" s="42">
        <f>TRUNC(33096,-1)</f>
        <v>33090</v>
      </c>
      <c r="E100" s="63">
        <f t="shared" si="3"/>
        <v>109380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TRUNC(15128,-1)</f>
        <v>15120</v>
      </c>
      <c r="E102" s="63">
        <f t="shared" si="3"/>
        <v>49980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3350</v>
      </c>
      <c r="E104" s="63">
        <f t="shared" si="3"/>
        <v>11070</v>
      </c>
    </row>
    <row r="105" spans="1:7" x14ac:dyDescent="0.3">
      <c r="A105" s="2">
        <v>8</v>
      </c>
      <c r="C105" s="38" t="s">
        <v>46</v>
      </c>
      <c r="D105" s="42">
        <f>TRUNC(5085,-1)</f>
        <v>5080</v>
      </c>
      <c r="E105" s="63">
        <f t="shared" si="3"/>
        <v>16790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TRUNC(2247,-1)</f>
        <v>2240</v>
      </c>
      <c r="E114" s="63">
        <f t="shared" si="3"/>
        <v>7400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4980</v>
      </c>
      <c r="E116" s="63">
        <f t="shared" si="3"/>
        <v>16460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TRUNC(66658,-1)</f>
        <v>66650</v>
      </c>
      <c r="E117" s="63">
        <f t="shared" si="3"/>
        <v>220330</v>
      </c>
    </row>
    <row r="118" spans="1:7" ht="17.25" thickBot="1" x14ac:dyDescent="0.35">
      <c r="A118" s="2">
        <v>21</v>
      </c>
      <c r="C118" s="38" t="s">
        <v>47</v>
      </c>
      <c r="D118" s="43">
        <f>TRUNC(1589,-1)</f>
        <v>1580</v>
      </c>
      <c r="E118" s="64">
        <f t="shared" si="3"/>
        <v>5220</v>
      </c>
    </row>
    <row r="119" spans="1:7" x14ac:dyDescent="0.3">
      <c r="A119" s="2">
        <v>22</v>
      </c>
      <c r="C119" s="27" t="s">
        <v>112</v>
      </c>
      <c r="D119" s="39">
        <f>SUM(D98:D118)</f>
        <v>162610</v>
      </c>
      <c r="E119" s="39">
        <f>SUM(E98:E118)</f>
        <v>537510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TRUNC(4531,-1)</f>
        <v>4530</v>
      </c>
      <c r="E122" s="62">
        <f t="shared" ref="E122:E132" si="4">TRUNC(+D122*3.3058,-1)</f>
        <v>14970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TRUNC(1327,-1)</f>
        <v>1320</v>
      </c>
      <c r="E124" s="63">
        <f t="shared" si="4"/>
        <v>4360</v>
      </c>
    </row>
    <row r="125" spans="1:7" x14ac:dyDescent="0.3">
      <c r="A125" s="2">
        <v>4</v>
      </c>
      <c r="C125" s="38" t="s">
        <v>138</v>
      </c>
      <c r="D125" s="42">
        <f>TRUNC(7808,-1)</f>
        <v>7800</v>
      </c>
      <c r="E125" s="63">
        <f t="shared" si="4"/>
        <v>25780</v>
      </c>
    </row>
    <row r="126" spans="1:7" x14ac:dyDescent="0.3">
      <c r="A126" s="2">
        <v>5</v>
      </c>
      <c r="C126" s="38" t="s">
        <v>53</v>
      </c>
      <c r="D126" s="42">
        <f>TRUNC(4206,-1)</f>
        <v>4200</v>
      </c>
      <c r="E126" s="63">
        <f t="shared" si="4"/>
        <v>13880</v>
      </c>
    </row>
    <row r="127" spans="1:7" x14ac:dyDescent="0.3">
      <c r="A127" s="2">
        <v>6</v>
      </c>
      <c r="C127" s="38" t="s">
        <v>56</v>
      </c>
      <c r="D127" s="42">
        <f>TRUNC(16963,-1)</f>
        <v>16960</v>
      </c>
      <c r="E127" s="63">
        <f t="shared" si="4"/>
        <v>56060</v>
      </c>
    </row>
    <row r="128" spans="1:7" x14ac:dyDescent="0.3">
      <c r="A128" s="2">
        <v>7</v>
      </c>
      <c r="C128" s="38" t="s">
        <v>46</v>
      </c>
      <c r="D128" s="42">
        <f>TRUNC(7295,-1)</f>
        <v>7290</v>
      </c>
      <c r="E128" s="63">
        <f t="shared" si="4"/>
        <v>24090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TRUNC(7818,-1)</f>
        <v>7810</v>
      </c>
      <c r="E130" s="63">
        <f t="shared" si="4"/>
        <v>25810</v>
      </c>
    </row>
    <row r="131" spans="1:7" x14ac:dyDescent="0.3">
      <c r="A131" s="2">
        <v>10</v>
      </c>
      <c r="C131" s="38" t="s">
        <v>148</v>
      </c>
      <c r="D131" s="42">
        <f>TRUNC(66488,-1)</f>
        <v>66480</v>
      </c>
      <c r="E131" s="63">
        <f t="shared" si="4"/>
        <v>219760</v>
      </c>
    </row>
    <row r="132" spans="1:7" ht="18" thickBot="1" x14ac:dyDescent="0.35">
      <c r="A132" s="2">
        <v>11</v>
      </c>
      <c r="C132" s="38" t="s">
        <v>47</v>
      </c>
      <c r="D132" s="43">
        <f>TRUNC(1844+1081+198,-1)</f>
        <v>3120</v>
      </c>
      <c r="E132" s="64">
        <f t="shared" si="4"/>
        <v>10310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119510</v>
      </c>
      <c r="E133" s="39">
        <f>SUM(E122:E132)</f>
        <v>395020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TRUNC(124+1969+3603,-1)</f>
        <v>5690</v>
      </c>
      <c r="E137" s="63">
        <f t="shared" si="5"/>
        <v>18810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TRUNC(1036,-1)</f>
        <v>1030</v>
      </c>
      <c r="E138" s="63">
        <f t="shared" si="5"/>
        <v>3400</v>
      </c>
    </row>
    <row r="139" spans="1:7" x14ac:dyDescent="0.3">
      <c r="A139" s="2">
        <v>4</v>
      </c>
      <c r="C139" s="38" t="s">
        <v>61</v>
      </c>
      <c r="D139" s="42">
        <f>TRUNC(3898,-1)</f>
        <v>3890</v>
      </c>
      <c r="E139" s="63">
        <f t="shared" si="5"/>
        <v>12850</v>
      </c>
    </row>
    <row r="140" spans="1:7" x14ac:dyDescent="0.3">
      <c r="A140" s="2">
        <v>5</v>
      </c>
      <c r="C140" s="38" t="s">
        <v>57</v>
      </c>
      <c r="D140" s="42">
        <f>TRUNC(1443,-1)</f>
        <v>1440</v>
      </c>
      <c r="E140" s="63">
        <f t="shared" si="5"/>
        <v>4760</v>
      </c>
    </row>
    <row r="141" spans="1:7" x14ac:dyDescent="0.3">
      <c r="A141" s="2">
        <v>6</v>
      </c>
      <c r="C141" s="38" t="s">
        <v>59</v>
      </c>
      <c r="D141" s="42">
        <f>TRUNC(24883,-1)</f>
        <v>24880</v>
      </c>
      <c r="E141" s="63">
        <f t="shared" si="5"/>
        <v>82240</v>
      </c>
    </row>
    <row r="142" spans="1:7" x14ac:dyDescent="0.3">
      <c r="A142" s="2">
        <v>7</v>
      </c>
      <c r="C142" s="38" t="s">
        <v>58</v>
      </c>
      <c r="D142" s="42">
        <f>TRUNC(4603,-1)</f>
        <v>4600</v>
      </c>
      <c r="E142" s="63">
        <f t="shared" si="5"/>
        <v>15200</v>
      </c>
    </row>
    <row r="143" spans="1:7" x14ac:dyDescent="0.3">
      <c r="A143" s="2">
        <v>8</v>
      </c>
      <c r="C143" s="38" t="s">
        <v>62</v>
      </c>
      <c r="D143" s="42">
        <f>TRUNC(6121,-1)</f>
        <v>6120</v>
      </c>
      <c r="E143" s="63">
        <f t="shared" si="5"/>
        <v>20230</v>
      </c>
    </row>
    <row r="144" spans="1:7" x14ac:dyDescent="0.3">
      <c r="A144" s="2">
        <v>9</v>
      </c>
      <c r="C144" s="38" t="s">
        <v>63</v>
      </c>
      <c r="D144" s="42">
        <f>TRUNC(20699,-1)</f>
        <v>20690</v>
      </c>
      <c r="E144" s="63">
        <f t="shared" si="5"/>
        <v>68390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68340</v>
      </c>
      <c r="E146" s="39">
        <f>SUM(E136:E145)</f>
        <v>225880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11793+2787</f>
        <v>14580</v>
      </c>
      <c r="E149" s="62">
        <f>TRUNC(+D149*3.3058,-1)</f>
        <v>48190</v>
      </c>
    </row>
    <row r="150" spans="1:7" x14ac:dyDescent="0.3">
      <c r="A150" s="2">
        <v>2</v>
      </c>
      <c r="C150" s="38" t="s">
        <v>49</v>
      </c>
      <c r="D150" s="42">
        <f>TRUNC(1379,-1)</f>
        <v>1370</v>
      </c>
      <c r="E150" s="63">
        <f>TRUNC(+D150*3.3058,-1)</f>
        <v>4520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TRUNC(508+9065+2240,-1)</f>
        <v>11810</v>
      </c>
      <c r="E152" s="63">
        <f>TRUNC(+D152*3.3058,-1)</f>
        <v>39040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27760</v>
      </c>
      <c r="E154" s="39">
        <f>SUM(E149:E153)</f>
        <v>91750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TRUNC(17937,-1)</f>
        <v>17930</v>
      </c>
      <c r="E157" s="62">
        <f>TRUNC(+D157*3.3058,-1)</f>
        <v>59270</v>
      </c>
    </row>
    <row r="158" spans="1:7" x14ac:dyDescent="0.3">
      <c r="A158" s="2">
        <v>2</v>
      </c>
      <c r="C158" s="38" t="s">
        <v>52</v>
      </c>
      <c r="D158" s="42">
        <f>TRUNC(986,-1)</f>
        <v>980</v>
      </c>
      <c r="E158" s="63">
        <f>TRUNC(+D158*3.3058,-1)</f>
        <v>3230</v>
      </c>
    </row>
    <row r="159" spans="1:7" x14ac:dyDescent="0.3">
      <c r="A159" s="2">
        <v>3</v>
      </c>
      <c r="C159" s="38" t="s">
        <v>47</v>
      </c>
      <c r="D159" s="42">
        <f>TRUNC(10096,-1)</f>
        <v>10090</v>
      </c>
      <c r="E159" s="63">
        <f>TRUNC(+D159*3.3058,-1)</f>
        <v>33350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29000</v>
      </c>
      <c r="E161" s="39">
        <f>SUM(E157:E160)</f>
        <v>95850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2020-12-08T04:05:58Z</dcterms:modified>
</cp:coreProperties>
</file>