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0" i="4" l="1"/>
  <c r="D132" i="4"/>
  <c r="D131" i="4"/>
  <c r="D127" i="4"/>
  <c r="D125" i="4"/>
  <c r="D122" i="4"/>
  <c r="D128" i="4"/>
  <c r="D150" i="4"/>
  <c r="D149" i="4"/>
  <c r="D143" i="4"/>
  <c r="D142" i="4"/>
  <c r="D140" i="4"/>
  <c r="D137" i="4"/>
  <c r="D118" i="4"/>
  <c r="D117" i="4"/>
  <c r="D105" i="4"/>
  <c r="D104" i="4"/>
  <c r="D103" i="4"/>
  <c r="D102" i="4"/>
  <c r="D100" i="4"/>
  <c r="D98" i="4"/>
  <c r="D94" i="4"/>
  <c r="D93" i="4"/>
  <c r="D92" i="4"/>
  <c r="D91" i="4"/>
  <c r="D90" i="4"/>
  <c r="D89" i="4"/>
  <c r="D73" i="4"/>
  <c r="D72" i="4"/>
  <c r="D71" i="4"/>
  <c r="D65" i="4"/>
  <c r="D63" i="4"/>
  <c r="D59" i="4"/>
  <c r="D58" i="4"/>
  <c r="D53" i="4"/>
  <c r="D52" i="4"/>
  <c r="D49" i="4"/>
  <c r="D46" i="4"/>
  <c r="D45" i="4"/>
  <c r="D44" i="4"/>
  <c r="D41" i="4"/>
  <c r="D40" i="4"/>
  <c r="D15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<sst xmlns="http://schemas.openxmlformats.org/spreadsheetml/2006/main" count="395" uniqueCount="265">
  <si>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</si>
  <si>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</si>
  <si>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</si>
  <si>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</si>
  <si>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</si>
  <si>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</si>
  <si>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</si>
  <si>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</si>
  <si>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</si>
  <si>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</si>
  <si>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</si>
  <si>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</si>
  <si>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</si>
  <si>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</si>
  <si>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</si>
  <si>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</si>
  <si>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</si>
  <si>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</si>
  <si>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</si>
  <si>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</si>
  <si>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</si>
  <si>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</si>
  <si>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</si>
  <si>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</si>
  <si>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</si>
  <si>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</si>
  <si>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</si>
  <si>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</si>
  <si>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</si>
  <si>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</si>
  <si>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</si>
  <si>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</si>
  <si>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</si>
  <si>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</si>
  <si>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</si>
  <si>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</si>
  <si>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</si>
  <si>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</si>
  <si>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</si>
  <si>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</si>
  <si>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</si>
  <si>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</si>
  <si>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</si>
  <si>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</si>
  <si>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</si>
  <si>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</si>
  <si>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</si>
  <si>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</si>
  <si>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</si>
  <si>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</si>
  <si>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</si>
  <si>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</si>
  <si>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</si>
  <si>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</si>
  <si>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</si>
  <si>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</si>
  <si>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</si>
  <si>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</si>
  <si>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</si>
  <si>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</si>
  <si>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</si>
  <si>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</si>
  <si>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</si>
  <si>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</si>
  <si>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</si>
  <si>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</si>
  <si>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</si>
  <si>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</si>
  <si>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</si>
  <si>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</si>
  <si>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</si>
  <si>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</si>
  <si>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</si>
  <si>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</si>
  <si>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</si>
  <si>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</si>
  <si>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</si>
  <si>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</si>
  <si>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</si>
  <si>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</si>
  <si>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</si>
  <si>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</si>
  <si>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</si>
  <si>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</si>
  <si>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</si>
  <si>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</si>
  <si>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</si>
  <si>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</si>
  <si>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</si>
  <si>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</si>
  <si>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</si>
  <si>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</si>
  <si>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</si>
  <si>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</si>
  <si>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</si>
  <si>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</si>
  <si>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</si>
  <si>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</si>
  <si>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</si>
  <si>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</si>
  <si>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</si>
  <si>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</si>
  <si>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</si>
  <si>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</si>
  <si>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</si>
  <si>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</si>
  <si>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</si>
  <si>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</si>
  <si>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</si>
  <si>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</si>
  <si>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</si>
  <si>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</si>
  <si>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</si>
  <si>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</si>
  <si>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</si>
  <si>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</si>
  <si>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</si>
  <si>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</si>
  <si>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</si>
  <si>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</si>
  <si>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</si>
  <si>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</si>
  <si>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</si>
  <si>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</si>
  <si>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</si>
  <si>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</si>
  <si>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</si>
  <si>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</si>
  <si>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</si>
  <si>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</si>
  <si>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</si>
  <si>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</si>
  <si>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</si>
  <si>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</si>
  <si>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</si>
  <si>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</si>
  <si>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</si>
  <si>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</si>
  <si>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</si>
  <si>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</si>
  <si>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</si>
  <si>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</si>
  <si>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</si>
  <si>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</si>
  <si>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</si>
  <si>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</si>
  <si>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</si>
  <si>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</si>
  <si>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</si>
  <si>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</si>
  <si>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</si>
  <si>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</si>
  <si>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</si>
  <si>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</si>
  <si>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</si>
  <si>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</si>
  <si>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</si>
  <si>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</si>
  <si>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</si>
  <si>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</si>
  <si>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</si>
  <si>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</si>
  <si>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</si>
  <si>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</si>
  <si>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</si>
  <si>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</si>
  <si>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</si>
  <si>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</si>
  <si>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</si>
  <si>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</si>
  <si>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</si>
  <si>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</si>
  <si>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</si>
  <si>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</si>
  <si>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</si>
  <si>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</si>
  <si>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</si>
  <si>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</si>
  <si>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</si>
  <si>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</si>
  <si>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</si>
  <si>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</si>
  <si>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</si>
  <si>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</si>
  <si>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</si>
  <si>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</si>
  <si>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</si>
  <si>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</si>
  <si>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</si>
  <si>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</si>
  <si>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</si>
  <si>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</si>
  <si>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</si>
  <si>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</si>
  <si>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</si>
  <si>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</si>
  <si>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</si>
  <si>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</si>
  <si>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</si>
  <si>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</si>
  <si>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</si>
  <si>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</si>
  <si>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</si>
  <si>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</si>
  <si>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</si>
  <si>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</si>
  <si>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</si>
  <si>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</si>
  <si>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</si>
  <si>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</si>
  <si>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</si>
  <si>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</si>
  <si>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</si>
  <si>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</si>
  <si>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</si>
  <si>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</si>
  <si>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</si>
  <si>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</si>
  <si>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</si>
  <si>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</si>
  <si>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</si>
  <si>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</si>
  <si>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</si>
  <si>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</si>
  <si>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</si>
  <si>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</si>
  <si>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</si>
  <si>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</si>
  <si>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</si>
  <si>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</si>
  <si>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</si>
  <si>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</si>
  <si>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</si>
  <si>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</si>
  <si>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</si>
  <si>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</si>
  <si>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</si>
  <si>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</si>
  <si>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</si>
  <si>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</si>
  <si>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</si>
  <si>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</si>
  <si>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</si>
  <si>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</si>
  <si>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</si>
  <si>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</si>
  <si>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</si>
  <si>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</si>
  <si>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</si>
  <si>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</si>
  <si>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</si>
  <si>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</si>
  <si>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CATV 및 TV 설비공사</t>
    <phoneticPr fontId="2" type="noConversion"/>
  </si>
  <si>
    <t>기타공사</t>
    <phoneticPr fontId="2" type="noConversion"/>
  </si>
  <si>
    <t>토목 사급자재비, 운반비, 기타공사</t>
    <phoneticPr fontId="2" type="noConversion"/>
  </si>
  <si>
    <t>포장공사</t>
    <phoneticPr fontId="2" type="noConversion"/>
  </si>
  <si>
    <t>정읍시서울장학숙건립공사</t>
    <phoneticPr fontId="2" type="noConversion"/>
  </si>
  <si>
    <t>숙박</t>
  </si>
  <si>
    <t>기초공사,골재비및운반비, 작업부산물, 품질시험비, 기타공사</t>
    <phoneticPr fontId="2" type="noConversion"/>
  </si>
  <si>
    <t>난방배관공사,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</si>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</sst>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4012.86</v>
      </c>
      <c r="D7" s="36">
        <f>+C7/3.3058</f>
        <v>1213.8846875189063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236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975440</v>
      </c>
      <c r="E25" s="58">
        <f t="shared" si="0"/>
        <v>3224600</v>
      </c>
    </row>
    <row r="26" spans="1:5" x14ac:dyDescent="0.3">
      <c r="B26" s="2">
        <v>3</v>
      </c>
      <c r="C26" s="35" t="s">
        <v>95</v>
      </c>
      <c r="D26" s="45">
        <f>+D66</f>
        <v>148820</v>
      </c>
      <c r="E26" s="58">
        <f t="shared" si="0"/>
        <v>491960</v>
      </c>
    </row>
    <row r="27" spans="1:5" x14ac:dyDescent="0.3">
      <c r="B27" s="2">
        <v>4</v>
      </c>
      <c r="C27" s="35" t="s">
        <v>96</v>
      </c>
      <c r="D27" s="45">
        <f>+D95</f>
        <v>122330</v>
      </c>
      <c r="E27" s="58">
        <f t="shared" si="0"/>
        <v>404390</v>
      </c>
    </row>
    <row r="28" spans="1:5" x14ac:dyDescent="0.3">
      <c r="B28" s="2">
        <v>5</v>
      </c>
      <c r="C28" s="35" t="s">
        <v>97</v>
      </c>
      <c r="D28" s="45">
        <f>+D119</f>
        <v>113790</v>
      </c>
      <c r="E28" s="58">
        <f t="shared" si="0"/>
        <v>376160</v>
      </c>
    </row>
    <row r="29" spans="1:5" x14ac:dyDescent="0.3">
      <c r="B29" s="2">
        <v>6</v>
      </c>
      <c r="C29" s="35" t="s">
        <v>98</v>
      </c>
      <c r="D29" s="45">
        <f>+D133</f>
        <v>31130</v>
      </c>
      <c r="E29" s="58">
        <f t="shared" si="0"/>
        <v>102900</v>
      </c>
    </row>
    <row r="30" spans="1:5" x14ac:dyDescent="0.3">
      <c r="B30" s="2">
        <v>7</v>
      </c>
      <c r="C30" s="35" t="s">
        <v>99</v>
      </c>
      <c r="D30" s="45">
        <f>+D146</f>
        <v>57680</v>
      </c>
      <c r="E30" s="58">
        <f t="shared" si="0"/>
        <v>190670</v>
      </c>
    </row>
    <row r="31" spans="1:5" x14ac:dyDescent="0.3">
      <c r="B31" s="2">
        <v>8</v>
      </c>
      <c r="C31" s="35" t="s">
        <v>100</v>
      </c>
      <c r="D31" s="45">
        <f>+D154</f>
        <v>49950</v>
      </c>
      <c r="E31" s="58">
        <f t="shared" si="0"/>
        <v>165120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8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412260</v>
      </c>
      <c r="E33" s="59">
        <f t="shared" si="0"/>
        <v>1362840</v>
      </c>
    </row>
    <row r="34" spans="1:7" x14ac:dyDescent="0.3">
      <c r="C34" s="35" t="s">
        <v>112</v>
      </c>
      <c r="D34" s="44">
        <f>SUM(D24:D33)</f>
        <v>1911400</v>
      </c>
      <c r="E34" s="44">
        <f>SUM(E24:E33)</f>
        <v>6318640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239</v>
      </c>
      <c r="D36" s="56" t="s">
        <v>235</v>
      </c>
      <c r="E36" s="56" t="s">
        <v>236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243</v>
      </c>
      <c r="D39" s="66" t="s">
        <v>260</v>
      </c>
      <c r="E39" s="66" t="s">
        <v>261</v>
      </c>
      <c r="G39" s="67"/>
    </row>
    <row r="40" spans="1:7" x14ac:dyDescent="0.3">
      <c r="A40" s="2">
        <v>1</v>
      </c>
      <c r="C40" s="38" t="s">
        <v>15</v>
      </c>
      <c r="D40" s="40">
        <f>TRUNC(56831,-1)</f>
        <v>56830</v>
      </c>
      <c r="E40" s="61">
        <f t="shared" ref="E40:E59" si="1">TRUNC(+D40*3.3058,-1)</f>
        <v>187860</v>
      </c>
    </row>
    <row r="41" spans="1:7" x14ac:dyDescent="0.3">
      <c r="A41" s="2">
        <v>2</v>
      </c>
      <c r="C41" s="38" t="s">
        <v>13</v>
      </c>
      <c r="D41" s="42">
        <f>TRUNC(187467,-1)</f>
        <v>187460</v>
      </c>
      <c r="E41" s="62">
        <f t="shared" si="1"/>
        <v>619700</v>
      </c>
    </row>
    <row r="42" spans="1:7" x14ac:dyDescent="0.3">
      <c r="A42" s="2">
        <v>3</v>
      </c>
      <c r="C42" s="38" t="s">
        <v>14</v>
      </c>
      <c r="D42" s="42">
        <v>0</v>
      </c>
      <c r="E42" s="62">
        <f t="shared" si="1"/>
        <v>0</v>
      </c>
    </row>
    <row r="43" spans="1:7" x14ac:dyDescent="0.3">
      <c r="A43" s="2">
        <v>4</v>
      </c>
      <c r="C43" s="38" t="s">
        <v>16</v>
      </c>
      <c r="D43" s="42">
        <v>16150</v>
      </c>
      <c r="E43" s="62">
        <f t="shared" si="1"/>
        <v>53380</v>
      </c>
    </row>
    <row r="44" spans="1:7" x14ac:dyDescent="0.3">
      <c r="A44" s="2">
        <v>5</v>
      </c>
      <c r="C44" s="38" t="s">
        <v>17</v>
      </c>
      <c r="D44" s="42">
        <f>TRUNC(29287,-1)</f>
        <v>29280</v>
      </c>
      <c r="E44" s="62">
        <f t="shared" si="1"/>
        <v>96790</v>
      </c>
    </row>
    <row r="45" spans="1:7" x14ac:dyDescent="0.3">
      <c r="A45" s="2">
        <v>6</v>
      </c>
      <c r="C45" s="38" t="s">
        <v>18</v>
      </c>
      <c r="D45" s="42">
        <f>TRUNC(19522,-1)</f>
        <v>19520</v>
      </c>
      <c r="E45" s="62">
        <f t="shared" si="1"/>
        <v>64520</v>
      </c>
    </row>
    <row r="46" spans="1:7" x14ac:dyDescent="0.3">
      <c r="A46" s="2">
        <v>7</v>
      </c>
      <c r="C46" s="38" t="s">
        <v>19</v>
      </c>
      <c r="D46" s="42">
        <f>TRUNC(16553,-1)</f>
        <v>16550</v>
      </c>
      <c r="E46" s="62">
        <f t="shared" si="1"/>
        <v>54710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v>79850</v>
      </c>
      <c r="E48" s="62">
        <f t="shared" si="1"/>
        <v>263960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TRUNC(16486,-1)</f>
        <v>16480</v>
      </c>
      <c r="E49" s="62">
        <f t="shared" si="1"/>
        <v>54470</v>
      </c>
    </row>
    <row r="50" spans="1:7" x14ac:dyDescent="0.3">
      <c r="A50" s="2">
        <v>11</v>
      </c>
      <c r="C50" s="38" t="s">
        <v>154</v>
      </c>
      <c r="D50" s="42">
        <v>43620</v>
      </c>
      <c r="E50" s="62">
        <f t="shared" si="1"/>
        <v>144190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TRUNC(14628,-1)</f>
        <v>14620</v>
      </c>
      <c r="E52" s="62">
        <f t="shared" si="1"/>
        <v>48330</v>
      </c>
    </row>
    <row r="53" spans="1:7" x14ac:dyDescent="0.3">
      <c r="A53" s="2">
        <v>14</v>
      </c>
      <c r="C53" s="38" t="s">
        <v>25</v>
      </c>
      <c r="D53" s="42">
        <f>TRUNC(119358,-1)</f>
        <v>119350</v>
      </c>
      <c r="E53" s="62">
        <f t="shared" si="1"/>
        <v>394540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TRUNC(7878+11313-874+2114+3428,-1)</f>
        <v>23850</v>
      </c>
      <c r="E58" s="62">
        <f t="shared" si="1"/>
        <v>78840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TRUNC(351888,-1)</f>
        <v>351880</v>
      </c>
      <c r="E59" s="63">
        <f t="shared" si="1"/>
        <v>1163240</v>
      </c>
    </row>
    <row r="60" spans="1:7" x14ac:dyDescent="0.3">
      <c r="A60" s="2">
        <v>21</v>
      </c>
      <c r="C60" s="27" t="s">
        <v>112</v>
      </c>
      <c r="D60" s="39">
        <f>SUM(D40:D59)</f>
        <v>975440</v>
      </c>
      <c r="E60" s="39">
        <f>SUM(E40:E59)</f>
        <v>3224530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240</v>
      </c>
      <c r="C62" s="55" t="s">
        <v>241</v>
      </c>
      <c r="D62" s="56" t="s">
        <v>238</v>
      </c>
      <c r="E62" s="56" t="s">
        <v>236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TRUNC(897,-1)</f>
        <v>890</v>
      </c>
      <c r="E63" s="61">
        <f>TRUNC(+D63*3.3058,-1)</f>
        <v>2940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TRUNC(147935,-1)</f>
        <v>147930</v>
      </c>
      <c r="E65" s="63">
        <f>TRUNC(+D65*3.3058,-1)</f>
        <v>489020</v>
      </c>
    </row>
    <row r="66" spans="1:7" x14ac:dyDescent="0.3">
      <c r="A66" s="2">
        <v>4</v>
      </c>
      <c r="C66" s="27" t="s">
        <v>112</v>
      </c>
      <c r="D66" s="39">
        <f>SUM(D63:D65)</f>
        <v>148820</v>
      </c>
      <c r="E66" s="64">
        <f>SUM(E63:E65)</f>
        <v>491960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242</v>
      </c>
      <c r="C68" s="55" t="s">
        <v>243</v>
      </c>
      <c r="D68" s="56" t="s">
        <v>235</v>
      </c>
      <c r="E68" s="56" t="s">
        <v>236</v>
      </c>
      <c r="F68" s="54"/>
      <c r="G68" s="54"/>
    </row>
    <row r="69" spans="1:7" x14ac:dyDescent="0.3">
      <c r="A69" s="2">
        <v>1</v>
      </c>
      <c r="C69" s="38" t="s">
        <v>30</v>
      </c>
      <c r="D69" s="40">
        <v>15870</v>
      </c>
      <c r="E69" s="61">
        <f t="shared" ref="E69:E94" si="2">TRUNC(+D69*3.3058,-1)</f>
        <v>52460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2">
        <f t="shared" si="2"/>
        <v>0</v>
      </c>
    </row>
    <row r="71" spans="1:7" x14ac:dyDescent="0.3">
      <c r="A71" s="2">
        <v>3</v>
      </c>
      <c r="C71" s="38" t="s">
        <v>32</v>
      </c>
      <c r="D71" s="42">
        <f>TRUNC(6325,-1)</f>
        <v>6320</v>
      </c>
      <c r="E71" s="62">
        <f t="shared" si="2"/>
        <v>20890</v>
      </c>
    </row>
    <row r="72" spans="1:7" x14ac:dyDescent="0.3">
      <c r="A72" s="2">
        <v>4</v>
      </c>
      <c r="C72" s="38" t="s">
        <v>33</v>
      </c>
      <c r="D72" s="42">
        <f>TRUNC(4025,-1)</f>
        <v>4020</v>
      </c>
      <c r="E72" s="62">
        <f t="shared" si="2"/>
        <v>13280</v>
      </c>
    </row>
    <row r="73" spans="1:7" x14ac:dyDescent="0.3">
      <c r="A73" s="2">
        <v>5</v>
      </c>
      <c r="C73" s="38" t="s">
        <v>34</v>
      </c>
      <c r="D73" s="42">
        <f>TRUNC(14553,-1)</f>
        <v>14550</v>
      </c>
      <c r="E73" s="62">
        <f t="shared" si="2"/>
        <v>48090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TRUNC(11592,-1)</f>
        <v>11590</v>
      </c>
      <c r="E89" s="62">
        <f t="shared" si="2"/>
        <v>38310</v>
      </c>
    </row>
    <row r="90" spans="1:7" x14ac:dyDescent="0.3">
      <c r="A90" s="2">
        <v>22</v>
      </c>
      <c r="C90" s="38" t="s">
        <v>36</v>
      </c>
      <c r="D90" s="42">
        <f>TRUNC(2395,-1)</f>
        <v>2390</v>
      </c>
      <c r="E90" s="62">
        <f t="shared" si="2"/>
        <v>7900</v>
      </c>
    </row>
    <row r="91" spans="1:7" x14ac:dyDescent="0.3">
      <c r="A91" s="2">
        <v>23</v>
      </c>
      <c r="C91" s="38" t="s">
        <v>37</v>
      </c>
      <c r="D91" s="42">
        <f>TRUNC(5096,-1)</f>
        <v>5090</v>
      </c>
      <c r="E91" s="62">
        <f t="shared" si="2"/>
        <v>16820</v>
      </c>
    </row>
    <row r="92" spans="1:7" x14ac:dyDescent="0.3">
      <c r="A92" s="2">
        <v>24</v>
      </c>
      <c r="C92" s="38" t="s">
        <v>38</v>
      </c>
      <c r="D92" s="42">
        <f>TRUNC(11197,-1)</f>
        <v>11190</v>
      </c>
      <c r="E92" s="62">
        <f t="shared" si="2"/>
        <v>36990</v>
      </c>
    </row>
    <row r="93" spans="1:7" x14ac:dyDescent="0.3">
      <c r="A93" s="2">
        <v>25</v>
      </c>
      <c r="C93" s="38" t="s">
        <v>148</v>
      </c>
      <c r="D93" s="42">
        <f>TRUNC(26378,-1)</f>
        <v>26370</v>
      </c>
      <c r="E93" s="62">
        <f t="shared" si="2"/>
        <v>87170</v>
      </c>
    </row>
    <row r="94" spans="1:7" ht="17.25" thickBot="1" x14ac:dyDescent="0.35">
      <c r="A94" s="2">
        <v>26</v>
      </c>
      <c r="C94" s="38" t="s">
        <v>47</v>
      </c>
      <c r="D94" s="43">
        <f>TRUNC(18347+6600,-1)</f>
        <v>24940</v>
      </c>
      <c r="E94" s="63">
        <f t="shared" si="2"/>
        <v>82440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122330</v>
      </c>
      <c r="E95" s="39">
        <f>SUM(E69:E94)</f>
        <v>404350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244</v>
      </c>
      <c r="C97" s="55" t="s">
        <v>243</v>
      </c>
      <c r="D97" s="56" t="s">
        <v>235</v>
      </c>
      <c r="E97" s="56" t="s">
        <v>236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TRUNC(15179,-1)</f>
        <v>15170</v>
      </c>
      <c r="E98" s="61">
        <f t="shared" ref="E98:E118" si="3">TRUNC(+D98*3.3058,-1)</f>
        <v>50140</v>
      </c>
    </row>
    <row r="99" spans="1:7" x14ac:dyDescent="0.3">
      <c r="A99" s="2">
        <v>2</v>
      </c>
      <c r="C99" s="38" t="s">
        <v>40</v>
      </c>
      <c r="D99" s="42">
        <v>0</v>
      </c>
      <c r="E99" s="62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TRUNC(27434,-1)</f>
        <v>27430</v>
      </c>
      <c r="E100" s="62">
        <f t="shared" si="3"/>
        <v>90670</v>
      </c>
    </row>
    <row r="101" spans="1:7" x14ac:dyDescent="0.3">
      <c r="A101" s="2">
        <v>4</v>
      </c>
      <c r="C101" s="38" t="s">
        <v>42</v>
      </c>
      <c r="D101" s="42">
        <v>0</v>
      </c>
      <c r="E101" s="62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TRUNC(11183,-1)</f>
        <v>11180</v>
      </c>
      <c r="E102" s="62">
        <f t="shared" si="3"/>
        <v>36950</v>
      </c>
    </row>
    <row r="103" spans="1:7" x14ac:dyDescent="0.3">
      <c r="A103" s="2">
        <v>6</v>
      </c>
      <c r="C103" s="38" t="s">
        <v>44</v>
      </c>
      <c r="D103" s="42">
        <f>TRUNC(5896,-1)</f>
        <v>5890</v>
      </c>
      <c r="E103" s="62">
        <f t="shared" si="3"/>
        <v>19470</v>
      </c>
    </row>
    <row r="104" spans="1:7" x14ac:dyDescent="0.3">
      <c r="A104" s="2">
        <v>7</v>
      </c>
      <c r="C104" s="38" t="s">
        <v>45</v>
      </c>
      <c r="D104" s="42">
        <f>TRUNC(4767,-1)</f>
        <v>4760</v>
      </c>
      <c r="E104" s="62">
        <f t="shared" si="3"/>
        <v>15730</v>
      </c>
    </row>
    <row r="105" spans="1:7" x14ac:dyDescent="0.3">
      <c r="A105" s="2">
        <v>8</v>
      </c>
      <c r="C105" s="38" t="s">
        <v>46</v>
      </c>
      <c r="D105" s="42">
        <f>TRUNC(2773,-1)</f>
        <v>2770</v>
      </c>
      <c r="E105" s="62">
        <f t="shared" si="3"/>
        <v>9150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2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2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TRUNC(44318,-1)</f>
        <v>44310</v>
      </c>
      <c r="E117" s="62">
        <f t="shared" si="3"/>
        <v>146470</v>
      </c>
    </row>
    <row r="118" spans="1:7" ht="17.25" thickBot="1" x14ac:dyDescent="0.35">
      <c r="A118" s="2">
        <v>21</v>
      </c>
      <c r="C118" s="38" t="s">
        <v>47</v>
      </c>
      <c r="D118" s="43">
        <f>TRUNC(2281,-1)</f>
        <v>2280</v>
      </c>
      <c r="E118" s="63">
        <f t="shared" si="3"/>
        <v>7530</v>
      </c>
    </row>
    <row r="119" spans="1:7" x14ac:dyDescent="0.3">
      <c r="A119" s="2">
        <v>22</v>
      </c>
      <c r="C119" s="27" t="s">
        <v>112</v>
      </c>
      <c r="D119" s="39">
        <f>SUM(D98:D118)</f>
        <v>113790</v>
      </c>
      <c r="E119" s="39">
        <f>SUM(E98:E118)</f>
        <v>376110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245</v>
      </c>
      <c r="C121" s="55" t="s">
        <v>243</v>
      </c>
      <c r="D121" s="56" t="s">
        <v>235</v>
      </c>
      <c r="E121" s="56" t="s">
        <v>236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TRUNC(12506,-1)</f>
        <v>12500</v>
      </c>
      <c r="E122" s="61">
        <f t="shared" ref="E122:E132" si="4">TRUNC(+D122*3.3058,-1)</f>
        <v>41320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2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TRUNC(4731,-1)</f>
        <v>4730</v>
      </c>
      <c r="E125" s="62">
        <f t="shared" si="4"/>
        <v>15630</v>
      </c>
    </row>
    <row r="126" spans="1:7" x14ac:dyDescent="0.3">
      <c r="A126" s="2">
        <v>5</v>
      </c>
      <c r="C126" s="38" t="s">
        <v>53</v>
      </c>
      <c r="D126" s="42">
        <v>0</v>
      </c>
      <c r="E126" s="62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TRUNC(244,-1)</f>
        <v>240</v>
      </c>
      <c r="E127" s="62">
        <f t="shared" si="4"/>
        <v>790</v>
      </c>
    </row>
    <row r="128" spans="1:7" x14ac:dyDescent="0.3">
      <c r="A128" s="2">
        <v>7</v>
      </c>
      <c r="C128" s="38" t="s">
        <v>46</v>
      </c>
      <c r="D128" s="42">
        <f>TRUNC(948,-1)</f>
        <v>940</v>
      </c>
      <c r="E128" s="62">
        <f t="shared" si="4"/>
        <v>3100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TRUNC(1809,-1)</f>
        <v>1800</v>
      </c>
      <c r="E130" s="62">
        <f t="shared" si="4"/>
        <v>5950</v>
      </c>
    </row>
    <row r="131" spans="1:7" x14ac:dyDescent="0.3">
      <c r="A131" s="2">
        <v>10</v>
      </c>
      <c r="C131" s="38" t="s">
        <v>148</v>
      </c>
      <c r="D131" s="42">
        <f>TRUNC(5556,-1)</f>
        <v>5550</v>
      </c>
      <c r="E131" s="62">
        <f t="shared" si="4"/>
        <v>18340</v>
      </c>
    </row>
    <row r="132" spans="1:7" ht="17.25" thickBot="1" x14ac:dyDescent="0.35">
      <c r="A132" s="2">
        <v>11</v>
      </c>
      <c r="C132" s="38" t="s">
        <v>47</v>
      </c>
      <c r="D132" s="43">
        <f>TRUNC(5374,-1)</f>
        <v>5370</v>
      </c>
      <c r="E132" s="63">
        <f t="shared" si="4"/>
        <v>17750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31130</v>
      </c>
      <c r="E133" s="39">
        <f>SUM(E122:E132)</f>
        <v>102880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246</v>
      </c>
      <c r="C135" s="55" t="s">
        <v>243</v>
      </c>
      <c r="D135" s="56" t="s">
        <v>235</v>
      </c>
      <c r="E135" s="56" t="s">
        <v>236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TRUNC(14569,-1)</f>
        <v>14560</v>
      </c>
      <c r="E137" s="62">
        <f t="shared" si="5"/>
        <v>48130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TRUNC(3726,-1)</f>
        <v>3720</v>
      </c>
      <c r="E140" s="62">
        <f t="shared" si="5"/>
        <v>12290</v>
      </c>
    </row>
    <row r="141" spans="1:7" x14ac:dyDescent="0.3">
      <c r="A141" s="2">
        <v>6</v>
      </c>
      <c r="C141" s="38" t="s">
        <v>59</v>
      </c>
      <c r="D141" s="42">
        <v>0</v>
      </c>
      <c r="E141" s="62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TRUNC(33656,-1)</f>
        <v>33650</v>
      </c>
      <c r="E142" s="62">
        <f t="shared" si="5"/>
        <v>111240</v>
      </c>
    </row>
    <row r="143" spans="1:7" x14ac:dyDescent="0.3">
      <c r="A143" s="2">
        <v>8</v>
      </c>
      <c r="C143" s="38" t="s">
        <v>62</v>
      </c>
      <c r="D143" s="42">
        <f>TRUNC(5755,-1)</f>
        <v>5750</v>
      </c>
      <c r="E143" s="62">
        <f t="shared" si="5"/>
        <v>19000</v>
      </c>
    </row>
    <row r="144" spans="1:7" x14ac:dyDescent="0.3">
      <c r="A144" s="2">
        <v>9</v>
      </c>
      <c r="C144" s="38" t="s">
        <v>63</v>
      </c>
      <c r="D144" s="42">
        <v>0</v>
      </c>
      <c r="E144" s="62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57680</v>
      </c>
      <c r="E146" s="39">
        <f>SUM(E136:E145)</f>
        <v>190660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247</v>
      </c>
      <c r="C148" s="55" t="s">
        <v>243</v>
      </c>
      <c r="D148" s="56" t="s">
        <v>235</v>
      </c>
      <c r="E148" s="56" t="s">
        <v>236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TRUNC(275,-1)</f>
        <v>270</v>
      </c>
      <c r="E149" s="61">
        <f>TRUNC(+D149*3.3058,-1)</f>
        <v>890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TRUNC(1675,-1)</f>
        <v>1670</v>
      </c>
      <c r="E150" s="62">
        <f>TRUNC(+D150*3.3058,-1)</f>
        <v>5520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v>0</v>
      </c>
      <c r="E151" s="62">
        <f>TRUNC(+D151*3.3058,-1)</f>
        <v>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34721+2550+10739</f>
        <v>48010</v>
      </c>
      <c r="E152" s="62">
        <f>TRUNC(+D152*3.3058,-1)</f>
        <v>158710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3">
        <f>TRUNC(+D153*3.3058,-1)</f>
        <v>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49950</v>
      </c>
      <c r="E154" s="39">
        <f>SUM(E149:E153)</f>
        <v>165120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248</v>
      </c>
      <c r="C156" s="55" t="s">
        <v>243</v>
      </c>
      <c r="D156" s="56" t="s">
        <v>235</v>
      </c>
      <c r="E156" s="56" t="s">
        <v>236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1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2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2">
        <f>TRUNC(+D159*3.3058,-1)</f>
        <v>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2020-12-07T10:05:39Z</dcterms:modified>
</cp:coreProperties>
</file>