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2" i="4"/>
  <c r="E151" i="4"/>
  <c r="E150" i="4"/>
  <c r="E149" i="4"/>
  <c r="E145" i="4"/>
  <c r="E143" i="4"/>
  <c r="E139" i="4"/>
  <c r="E136" i="4"/>
  <c r="E129" i="4"/>
  <c r="E123" i="4"/>
  <c r="E115" i="4"/>
  <c r="E113" i="4"/>
  <c r="E112" i="4"/>
  <c r="E111" i="4"/>
  <c r="E110" i="4"/>
  <c r="E109" i="4"/>
  <c r="E108" i="4"/>
  <c r="E107" i="4"/>
  <c r="E106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4" i="4"/>
  <c r="E63" i="4"/>
  <c r="E57" i="4"/>
  <c r="E56" i="4"/>
  <c r="E55" i="4"/>
  <c r="E54" i="4"/>
  <c r="E51" i="4"/>
  <c r="E47" i="4"/>
  <c r="E45" i="4"/>
  <c r="E41" i="4"/>
  <c r="E37" i="4"/>
  <c r="E154" i="4" l="1"/>
  <c r="D158" i="4"/>
  <c r="E158" i="4" s="1"/>
  <c r="D157" i="4"/>
  <c r="E157" i="4" s="1"/>
  <c r="D144" i="4"/>
  <c r="E144" i="4" s="1"/>
  <c r="D142" i="4"/>
  <c r="E142" i="4" s="1"/>
  <c r="D141" i="4"/>
  <c r="E141" i="4" s="1"/>
  <c r="D140" i="4"/>
  <c r="E140" i="4" s="1"/>
  <c r="D138" i="4"/>
  <c r="E138" i="4" s="1"/>
  <c r="D137" i="4"/>
  <c r="E137" i="4" s="1"/>
  <c r="E146" i="4" s="1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E122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E119" i="4" s="1"/>
  <c r="D98" i="4"/>
  <c r="E98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65" i="4"/>
  <c r="E65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4" i="4"/>
  <c r="E44" i="4" s="1"/>
  <c r="D43" i="4"/>
  <c r="E43" i="4" s="1"/>
  <c r="D42" i="4"/>
  <c r="E42" i="4" s="1"/>
  <c r="D40" i="4"/>
  <c r="E40" i="4" s="1"/>
  <c r="D159" i="4"/>
  <c r="E159" i="4" s="1"/>
  <c r="E60" i="4" l="1"/>
  <c r="E161" i="4"/>
  <c r="E95" i="4"/>
  <c r="E133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<sst xmlns="http://schemas.openxmlformats.org/spreadsheetml/2006/main" count="392" uniqueCount="267">
  <si>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</si>
  <si>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</si>
  <si>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</si>
  <si>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</si>
  <si>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</si>
  <si>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</si>
  <si>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</si>
  <si>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</si>
  <si>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</si>
  <si>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</si>
  <si>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</si>
  <si>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</si>
  <si>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</si>
  <si>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</si>
  <si>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</si>
  <si>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</si>
  <si>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</si>
  <si>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</si>
  <si>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</si>
  <si>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</si>
  <si>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</si>
  <si>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</si>
  <si>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</si>
  <si>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</si>
  <si>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</si>
  <si>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</si>
  <si>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</si>
  <si>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</si>
  <si>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</si>
  <si>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</si>
  <si>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</si>
  <si>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</si>
  <si>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</si>
  <si>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</si>
  <si>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</si>
  <si>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</si>
  <si>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</si>
  <si>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</si>
  <si>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</si>
  <si>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</si>
  <si>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</si>
  <si>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</si>
  <si>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</si>
  <si>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</si>
  <si>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</si>
  <si>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</si>
  <si>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</si>
  <si>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</si>
  <si>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</si>
  <si>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</si>
  <si>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</si>
  <si>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</si>
  <si>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</si>
  <si>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</si>
  <si>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</si>
  <si>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</si>
  <si>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</si>
  <si>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</si>
  <si>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</si>
  <si>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</si>
  <si>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</si>
  <si>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</si>
  <si>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</si>
  <si>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</si>
  <si>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</si>
  <si>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</si>
  <si>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</si>
  <si>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</si>
  <si>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</si>
  <si>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</si>
  <si>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</si>
  <si>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</si>
  <si>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</si>
  <si>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</si>
  <si>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</si>
  <si>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</si>
  <si>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</si>
  <si>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</si>
  <si>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</si>
  <si>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</si>
  <si>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</si>
  <si>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</si>
  <si>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</si>
  <si>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</si>
  <si>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</si>
  <si>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</si>
  <si>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</si>
  <si>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</si>
  <si>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</si>
  <si>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</si>
  <si>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</si>
  <si>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</si>
  <si>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</si>
  <si>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</si>
  <si>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</si>
  <si>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</si>
  <si>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</si>
  <si>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</si>
  <si>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</si>
  <si>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</si>
  <si>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</si>
  <si>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</si>
  <si>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</si>
  <si>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</si>
  <si>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</si>
  <si>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</si>
  <si>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</si>
  <si>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</si>
  <si>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</si>
  <si>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</si>
  <si>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</si>
  <si>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</si>
  <si>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</si>
  <si>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</si>
  <si>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</si>
  <si>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</si>
  <si>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</si>
  <si>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</si>
  <si>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</si>
  <si>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</si>
  <si>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</si>
  <si>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</si>
  <si>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</si>
  <si>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</si>
  <si>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</si>
  <si>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</si>
  <si>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</si>
  <si>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</si>
  <si>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</si>
  <si>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</si>
  <si>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</si>
  <si>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</si>
  <si>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</si>
  <si>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</si>
  <si>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</si>
  <si>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</si>
  <si>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</si>
  <si>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</si>
  <si>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</si>
  <si>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</si>
  <si>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</si>
  <si>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</si>
  <si>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</si>
  <si>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</si>
  <si>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</si>
  <si>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</si>
  <si>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</si>
  <si>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</si>
  <si>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</si>
  <si>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</si>
  <si>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</si>
  <si>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</si>
  <si>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</si>
  <si>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</si>
  <si>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</si>
  <si>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</si>
  <si>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</si>
  <si>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</si>
  <si>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</si>
  <si>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</si>
  <si>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</si>
  <si>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</si>
  <si>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</si>
  <si>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</si>
  <si>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</si>
  <si>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</si>
  <si>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</si>
  <si>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</si>
  <si>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</si>
  <si>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</si>
  <si>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</si>
  <si>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</si>
  <si>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</si>
  <si>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</si>
  <si>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</si>
  <si>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</si>
  <si>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</si>
  <si>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</si>
  <si>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</si>
  <si>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</si>
  <si>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</si>
  <si>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</si>
  <si>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</si>
  <si>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</si>
  <si>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</si>
  <si>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</si>
  <si>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</si>
  <si>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</si>
  <si>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</si>
  <si>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</si>
  <si>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</si>
  <si>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</si>
  <si>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</si>
  <si>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</si>
  <si>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</si>
  <si>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</si>
  <si>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</si>
  <si>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</si>
  <si>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</si>
  <si>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</si>
  <si>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</si>
  <si>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</si>
  <si>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</si>
  <si>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</si>
  <si>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</si>
  <si>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</si>
  <si>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</si>
  <si>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</si>
  <si>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</si>
  <si>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</si>
  <si>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</si>
  <si>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</si>
  <si>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</si>
  <si>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</si>
  <si>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</si>
  <si>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</si>
  <si>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</si>
  <si>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</si>
  <si>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</si>
  <si>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</si>
  <si>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</si>
  <si>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</si>
  <si>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</si>
  <si>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</si>
  <si>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</si>
  <si>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</si>
  <si>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</si>
  <si>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</si>
  <si>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</si>
  <si>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</si>
  <si>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</si>
  <si>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</si>
  <si>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</si>
  <si>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</si>
  <si>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</si>
  <si>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</si>
  <si>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</si>
  <si>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</si>
  <si>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</si>
  <si>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</si>
  <si>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</si>
  <si>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</si>
  <si>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</si>
  <si>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</si>
  <si>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</si>
  <si>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</si>
  <si>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</si>
  <si>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</si>
  <si>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</si>
  <si>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</si>
  <si>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</si>
  <si>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</si>
  <si>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</si>
  <si>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</si>
  <si>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의료</t>
  </si>
  <si>
    <t>전라도</t>
  </si>
  <si>
    <t>기초공사,골재비및운반비, 작업부산물, 품질관리비, 기타공사</t>
    <phoneticPr fontId="2" type="noConversion"/>
  </si>
  <si>
    <t>공조배관, 우수처리시설공사, 기타공사</t>
    <phoneticPr fontId="2" type="noConversion"/>
  </si>
  <si>
    <t>전기인입 및 수변전 설비공사</t>
    <phoneticPr fontId="2" type="noConversion"/>
  </si>
  <si>
    <t>펌프실배관공사, 기타공사</t>
    <phoneticPr fontId="2" type="noConversion"/>
  </si>
  <si>
    <t>포장공사, 기타공사</t>
    <phoneticPr fontId="2" type="noConversion"/>
  </si>
  <si>
    <t>통합의학센터 건립 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</si>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</sst>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9203.82</v>
      </c>
      <c r="D7" s="36">
        <f>+C7/3.3058</f>
        <v>2784.1430213564036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823250</v>
      </c>
      <c r="E25" s="58">
        <f t="shared" si="0"/>
        <v>2721490</v>
      </c>
    </row>
    <row r="26" spans="1:5" x14ac:dyDescent="0.3">
      <c r="B26" s="2">
        <v>3</v>
      </c>
      <c r="C26" s="35" t="s">
        <v>95</v>
      </c>
      <c r="D26" s="45">
        <f>+D66</f>
        <v>18430</v>
      </c>
      <c r="E26" s="58">
        <f t="shared" si="0"/>
        <v>60920</v>
      </c>
    </row>
    <row r="27" spans="1:5" x14ac:dyDescent="0.3">
      <c r="B27" s="2">
        <v>4</v>
      </c>
      <c r="C27" s="35" t="s">
        <v>96</v>
      </c>
      <c r="D27" s="45">
        <f>+D95</f>
        <v>451940</v>
      </c>
      <c r="E27" s="58">
        <f t="shared" si="0"/>
        <v>1494020</v>
      </c>
    </row>
    <row r="28" spans="1:5" x14ac:dyDescent="0.3">
      <c r="B28" s="2">
        <v>5</v>
      </c>
      <c r="C28" s="35" t="s">
        <v>97</v>
      </c>
      <c r="D28" s="45">
        <f>+D119</f>
        <v>287770</v>
      </c>
      <c r="E28" s="58">
        <f t="shared" si="0"/>
        <v>951310</v>
      </c>
    </row>
    <row r="29" spans="1:5" x14ac:dyDescent="0.3">
      <c r="B29" s="2">
        <v>6</v>
      </c>
      <c r="C29" s="35" t="s">
        <v>98</v>
      </c>
      <c r="D29" s="45">
        <f>+D133</f>
        <v>125990</v>
      </c>
      <c r="E29" s="58">
        <f t="shared" si="0"/>
        <v>416490</v>
      </c>
    </row>
    <row r="30" spans="1:5" x14ac:dyDescent="0.3">
      <c r="B30" s="2">
        <v>7</v>
      </c>
      <c r="C30" s="35" t="s">
        <v>99</v>
      </c>
      <c r="D30" s="45">
        <f>+D146</f>
        <v>45090</v>
      </c>
      <c r="E30" s="58">
        <f t="shared" si="0"/>
        <v>149050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8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43370</v>
      </c>
      <c r="E32" s="58">
        <f t="shared" si="0"/>
        <v>143370</v>
      </c>
    </row>
    <row r="33" spans="1:7" x14ac:dyDescent="0.3">
      <c r="B33" s="2">
        <v>10</v>
      </c>
      <c r="C33" s="35" t="s">
        <v>154</v>
      </c>
      <c r="D33" s="53">
        <f>TRUNC(SUM(D24:D32)*0.275,-1)</f>
        <v>493850</v>
      </c>
      <c r="E33" s="59">
        <f t="shared" si="0"/>
        <v>1632560</v>
      </c>
    </row>
    <row r="34" spans="1:7" x14ac:dyDescent="0.3">
      <c r="C34" s="35" t="s">
        <v>112</v>
      </c>
      <c r="D34" s="44">
        <f>SUM(D24:D33)</f>
        <v>2289690</v>
      </c>
      <c r="E34" s="44">
        <f>SUM(E24:E33)</f>
        <v>7569210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TRUNC(44516,-1)</f>
        <v>44510</v>
      </c>
      <c r="E40" s="61">
        <f t="shared" ref="E40:E59" si="1">TRUNC(+D40*3.3058,-1)</f>
        <v>147140</v>
      </c>
    </row>
    <row r="41" spans="1:7" x14ac:dyDescent="0.3">
      <c r="A41" s="2">
        <v>2</v>
      </c>
      <c r="C41" s="38" t="s">
        <v>13</v>
      </c>
      <c r="D41" s="42">
        <v>91270</v>
      </c>
      <c r="E41" s="62">
        <f t="shared" si="1"/>
        <v>301720</v>
      </c>
    </row>
    <row r="42" spans="1:7" x14ac:dyDescent="0.3">
      <c r="A42" s="2">
        <v>3</v>
      </c>
      <c r="C42" s="38" t="s">
        <v>14</v>
      </c>
      <c r="D42" s="42">
        <f>TRUNC(10607,-1)</f>
        <v>10600</v>
      </c>
      <c r="E42" s="62">
        <f t="shared" si="1"/>
        <v>35040</v>
      </c>
    </row>
    <row r="43" spans="1:7" x14ac:dyDescent="0.3">
      <c r="A43" s="2">
        <v>4</v>
      </c>
      <c r="C43" s="38" t="s">
        <v>16</v>
      </c>
      <c r="D43" s="42">
        <f>TRUNC(23964,-1)</f>
        <v>23960</v>
      </c>
      <c r="E43" s="62">
        <f t="shared" si="1"/>
        <v>79200</v>
      </c>
    </row>
    <row r="44" spans="1:7" x14ac:dyDescent="0.3">
      <c r="A44" s="2">
        <v>5</v>
      </c>
      <c r="C44" s="38" t="s">
        <v>17</v>
      </c>
      <c r="D44" s="42">
        <f>TRUNC(31471,-1)</f>
        <v>31470</v>
      </c>
      <c r="E44" s="62">
        <f t="shared" si="1"/>
        <v>104030</v>
      </c>
    </row>
    <row r="45" spans="1:7" x14ac:dyDescent="0.3">
      <c r="A45" s="2">
        <v>6</v>
      </c>
      <c r="C45" s="38" t="s">
        <v>18</v>
      </c>
      <c r="D45" s="42">
        <v>14150</v>
      </c>
      <c r="E45" s="62">
        <f t="shared" si="1"/>
        <v>46770</v>
      </c>
    </row>
    <row r="46" spans="1:7" x14ac:dyDescent="0.3">
      <c r="A46" s="2">
        <v>7</v>
      </c>
      <c r="C46" s="38" t="s">
        <v>19</v>
      </c>
      <c r="D46" s="42">
        <f>TRUNC(11532,-1)</f>
        <v>11530</v>
      </c>
      <c r="E46" s="62">
        <f t="shared" si="1"/>
        <v>38110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TRUNC(53945,-1)</f>
        <v>53940</v>
      </c>
      <c r="E48" s="62">
        <f t="shared" si="1"/>
        <v>178310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TRUNC(16382,-1)</f>
        <v>16380</v>
      </c>
      <c r="E49" s="62">
        <f t="shared" si="1"/>
        <v>54140</v>
      </c>
    </row>
    <row r="50" spans="1:7" x14ac:dyDescent="0.3">
      <c r="A50" s="2">
        <v>11</v>
      </c>
      <c r="C50" s="38" t="s">
        <v>155</v>
      </c>
      <c r="D50" s="42">
        <f>TRUNC(60907,-1)</f>
        <v>60900</v>
      </c>
      <c r="E50" s="62">
        <f t="shared" si="1"/>
        <v>201320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TRUNC(13483,-1)</f>
        <v>13480</v>
      </c>
      <c r="E52" s="62">
        <f t="shared" si="1"/>
        <v>44560</v>
      </c>
    </row>
    <row r="53" spans="1:7" x14ac:dyDescent="0.3">
      <c r="A53" s="2">
        <v>14</v>
      </c>
      <c r="C53" s="38" t="s">
        <v>25</v>
      </c>
      <c r="D53" s="42">
        <f>TRUNC(120015,-1)</f>
        <v>120010</v>
      </c>
      <c r="E53" s="62">
        <f t="shared" si="1"/>
        <v>396720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TRUNC(12935+3121-808+584+58543,-1)</f>
        <v>74370</v>
      </c>
      <c r="E58" s="62">
        <f t="shared" si="1"/>
        <v>245850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TRUNC(256681,-1)</f>
        <v>256680</v>
      </c>
      <c r="E59" s="63">
        <f t="shared" si="1"/>
        <v>848530</v>
      </c>
    </row>
    <row r="60" spans="1:7" x14ac:dyDescent="0.3">
      <c r="A60" s="2">
        <v>21</v>
      </c>
      <c r="C60" s="27" t="s">
        <v>112</v>
      </c>
      <c r="D60" s="39">
        <f>SUM(D40:D59)</f>
        <v>823250</v>
      </c>
      <c r="E60" s="39">
        <f>SUM(E40:E59)</f>
        <v>2721440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1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TRUNC(18437,-1)</f>
        <v>18430</v>
      </c>
      <c r="E65" s="63">
        <f>TRUNC(+D65*3.3058,-1)</f>
        <v>60920</v>
      </c>
    </row>
    <row r="66" spans="1:7" x14ac:dyDescent="0.3">
      <c r="A66" s="2">
        <v>4</v>
      </c>
      <c r="C66" s="27" t="s">
        <v>112</v>
      </c>
      <c r="D66" s="39">
        <f>SUM(D63:D65)</f>
        <v>18430</v>
      </c>
      <c r="E66" s="64">
        <f>SUM(E63:E65)</f>
        <v>60920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TRUNC(22199,-1)</f>
        <v>22190</v>
      </c>
      <c r="E69" s="61">
        <f t="shared" ref="E69:E94" si="2">TRUNC(+D69*3.3058,-1)</f>
        <v>73350</v>
      </c>
    </row>
    <row r="70" spans="1:7" ht="16.5" customHeight="1" x14ac:dyDescent="0.3">
      <c r="A70" s="2">
        <v>2</v>
      </c>
      <c r="C70" s="38" t="s">
        <v>31</v>
      </c>
      <c r="D70" s="42">
        <f>TRUNC(625,-1)</f>
        <v>620</v>
      </c>
      <c r="E70" s="62">
        <f t="shared" si="2"/>
        <v>2040</v>
      </c>
    </row>
    <row r="71" spans="1:7" x14ac:dyDescent="0.3">
      <c r="A71" s="2">
        <v>3</v>
      </c>
      <c r="C71" s="38" t="s">
        <v>32</v>
      </c>
      <c r="D71" s="42">
        <f>TRUNC(30372,-1)</f>
        <v>30370</v>
      </c>
      <c r="E71" s="62">
        <f t="shared" si="2"/>
        <v>100390</v>
      </c>
    </row>
    <row r="72" spans="1:7" x14ac:dyDescent="0.3">
      <c r="A72" s="2">
        <v>4</v>
      </c>
      <c r="C72" s="38" t="s">
        <v>33</v>
      </c>
      <c r="D72" s="42">
        <f>TRUNC(5028,-1)</f>
        <v>5020</v>
      </c>
      <c r="E72" s="62">
        <f t="shared" si="2"/>
        <v>16590</v>
      </c>
    </row>
    <row r="73" spans="1:7" x14ac:dyDescent="0.3">
      <c r="A73" s="2">
        <v>5</v>
      </c>
      <c r="C73" s="38" t="s">
        <v>34</v>
      </c>
      <c r="D73" s="42">
        <f>TRUNC(15127,-1)</f>
        <v>15120</v>
      </c>
      <c r="E73" s="62">
        <f t="shared" si="2"/>
        <v>49980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TRUNC(699,-1)</f>
        <v>690</v>
      </c>
      <c r="E75" s="62">
        <f t="shared" si="2"/>
        <v>2280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TRUNC(22935,-1)</f>
        <v>22930</v>
      </c>
      <c r="E89" s="62">
        <f t="shared" si="2"/>
        <v>75800</v>
      </c>
    </row>
    <row r="90" spans="1:7" x14ac:dyDescent="0.3">
      <c r="A90" s="2">
        <v>22</v>
      </c>
      <c r="C90" s="38" t="s">
        <v>36</v>
      </c>
      <c r="D90" s="42">
        <f>TRUNC(2442,-1)</f>
        <v>2440</v>
      </c>
      <c r="E90" s="62">
        <f t="shared" si="2"/>
        <v>8060</v>
      </c>
    </row>
    <row r="91" spans="1:7" x14ac:dyDescent="0.3">
      <c r="A91" s="2">
        <v>23</v>
      </c>
      <c r="C91" s="38" t="s">
        <v>37</v>
      </c>
      <c r="D91" s="42">
        <f>TRUNC(36363,-1)</f>
        <v>36360</v>
      </c>
      <c r="E91" s="62">
        <f t="shared" si="2"/>
        <v>120190</v>
      </c>
    </row>
    <row r="92" spans="1:7" x14ac:dyDescent="0.3">
      <c r="A92" s="2">
        <v>24</v>
      </c>
      <c r="C92" s="38" t="s">
        <v>38</v>
      </c>
      <c r="D92" s="42">
        <f>TRUNC(8178,-1)</f>
        <v>8170</v>
      </c>
      <c r="E92" s="62">
        <f t="shared" si="2"/>
        <v>27000</v>
      </c>
    </row>
    <row r="93" spans="1:7" x14ac:dyDescent="0.3">
      <c r="A93" s="2">
        <v>25</v>
      </c>
      <c r="C93" s="38" t="s">
        <v>148</v>
      </c>
      <c r="D93" s="42">
        <f>TRUNC(180246,-1)</f>
        <v>180240</v>
      </c>
      <c r="E93" s="62">
        <f t="shared" si="2"/>
        <v>595830</v>
      </c>
    </row>
    <row r="94" spans="1:7" ht="17.25" thickBot="1" x14ac:dyDescent="0.35">
      <c r="A94" s="2">
        <v>26</v>
      </c>
      <c r="C94" s="38" t="s">
        <v>47</v>
      </c>
      <c r="D94" s="43">
        <f>TRUNC(20560+39385+67854,-1)</f>
        <v>127790</v>
      </c>
      <c r="E94" s="63">
        <f t="shared" si="2"/>
        <v>422440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451940</v>
      </c>
      <c r="E95" s="39">
        <f>SUM(E69:E94)</f>
        <v>1493950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TRUNC(19197,-1)</f>
        <v>19190</v>
      </c>
      <c r="E98" s="61">
        <f t="shared" ref="E98:E118" si="3">TRUNC(+D98*3.3058,-1)</f>
        <v>63430</v>
      </c>
    </row>
    <row r="99" spans="1:7" x14ac:dyDescent="0.3">
      <c r="A99" s="2">
        <v>2</v>
      </c>
      <c r="C99" s="38" t="s">
        <v>40</v>
      </c>
      <c r="D99" s="42">
        <f>TRUNC(9033,-1)</f>
        <v>9030</v>
      </c>
      <c r="E99" s="62">
        <f t="shared" si="3"/>
        <v>29850</v>
      </c>
    </row>
    <row r="100" spans="1:7" x14ac:dyDescent="0.3">
      <c r="A100" s="2">
        <v>3</v>
      </c>
      <c r="C100" s="38" t="s">
        <v>41</v>
      </c>
      <c r="D100" s="42">
        <f>TRUNC(21396,-1)</f>
        <v>21390</v>
      </c>
      <c r="E100" s="62">
        <f t="shared" si="3"/>
        <v>70710</v>
      </c>
    </row>
    <row r="101" spans="1:7" x14ac:dyDescent="0.3">
      <c r="A101" s="2">
        <v>4</v>
      </c>
      <c r="C101" s="38" t="s">
        <v>42</v>
      </c>
      <c r="D101" s="42">
        <f>TRUNC(1539,-1)</f>
        <v>1530</v>
      </c>
      <c r="E101" s="62">
        <f t="shared" si="3"/>
        <v>5050</v>
      </c>
    </row>
    <row r="102" spans="1:7" x14ac:dyDescent="0.3">
      <c r="A102" s="2">
        <v>5</v>
      </c>
      <c r="C102" s="38" t="s">
        <v>43</v>
      </c>
      <c r="D102" s="42">
        <f>TRUNC(14661,-1)</f>
        <v>14660</v>
      </c>
      <c r="E102" s="62">
        <f t="shared" si="3"/>
        <v>48460</v>
      </c>
    </row>
    <row r="103" spans="1:7" x14ac:dyDescent="0.3">
      <c r="A103" s="2">
        <v>6</v>
      </c>
      <c r="C103" s="38" t="s">
        <v>44</v>
      </c>
      <c r="D103" s="42">
        <f>TRUNC(5552,-1)</f>
        <v>5550</v>
      </c>
      <c r="E103" s="62">
        <f t="shared" si="3"/>
        <v>18340</v>
      </c>
    </row>
    <row r="104" spans="1:7" x14ac:dyDescent="0.3">
      <c r="A104" s="2">
        <v>7</v>
      </c>
      <c r="C104" s="38" t="s">
        <v>45</v>
      </c>
      <c r="D104" s="42">
        <f>TRUNC(7957,-1)</f>
        <v>7950</v>
      </c>
      <c r="E104" s="62">
        <f t="shared" si="3"/>
        <v>26280</v>
      </c>
    </row>
    <row r="105" spans="1:7" x14ac:dyDescent="0.3">
      <c r="A105" s="2">
        <v>8</v>
      </c>
      <c r="C105" s="38" t="s">
        <v>46</v>
      </c>
      <c r="D105" s="42">
        <f>TRUNC(9406,-1)</f>
        <v>9400</v>
      </c>
      <c r="E105" s="62">
        <f t="shared" si="3"/>
        <v>31070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TRUNC(3226,-1)</f>
        <v>3220</v>
      </c>
      <c r="E114" s="62">
        <f t="shared" si="3"/>
        <v>10640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TRUNC(8523,-1)</f>
        <v>8520</v>
      </c>
      <c r="E116" s="62">
        <f t="shared" si="3"/>
        <v>28160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TRUNC(184901,-1)</f>
        <v>184900</v>
      </c>
      <c r="E117" s="62">
        <f t="shared" si="3"/>
        <v>611240</v>
      </c>
    </row>
    <row r="118" spans="1:7" ht="17.25" thickBot="1" x14ac:dyDescent="0.35">
      <c r="A118" s="2">
        <v>21</v>
      </c>
      <c r="C118" s="38" t="s">
        <v>47</v>
      </c>
      <c r="D118" s="43">
        <f>TRUNC(2432,-1)</f>
        <v>2430</v>
      </c>
      <c r="E118" s="63">
        <f t="shared" si="3"/>
        <v>8030</v>
      </c>
    </row>
    <row r="119" spans="1:7" x14ac:dyDescent="0.3">
      <c r="A119" s="2">
        <v>22</v>
      </c>
      <c r="C119" s="27" t="s">
        <v>112</v>
      </c>
      <c r="D119" s="39">
        <f>SUM(D98:D118)</f>
        <v>287770</v>
      </c>
      <c r="E119" s="39">
        <f>SUM(E98:E118)</f>
        <v>951260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TRUNC(3409,-1)</f>
        <v>3400</v>
      </c>
      <c r="E122" s="61">
        <f t="shared" ref="E122:E132" si="4">TRUNC(+D122*3.3058,-1)</f>
        <v>11230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TRUNC(891,-1)</f>
        <v>890</v>
      </c>
      <c r="E124" s="62">
        <f t="shared" si="4"/>
        <v>2940</v>
      </c>
    </row>
    <row r="125" spans="1:7" x14ac:dyDescent="0.3">
      <c r="A125" s="2">
        <v>4</v>
      </c>
      <c r="C125" s="38" t="s">
        <v>138</v>
      </c>
      <c r="D125" s="42">
        <f>TRUNC(6262,-1)</f>
        <v>6260</v>
      </c>
      <c r="E125" s="62">
        <f t="shared" si="4"/>
        <v>20690</v>
      </c>
    </row>
    <row r="126" spans="1:7" x14ac:dyDescent="0.3">
      <c r="A126" s="2">
        <v>5</v>
      </c>
      <c r="C126" s="38" t="s">
        <v>53</v>
      </c>
      <c r="D126" s="42">
        <f>TRUNC(1782,-1)</f>
        <v>1780</v>
      </c>
      <c r="E126" s="62">
        <f t="shared" si="4"/>
        <v>5880</v>
      </c>
    </row>
    <row r="127" spans="1:7" x14ac:dyDescent="0.3">
      <c r="A127" s="2">
        <v>6</v>
      </c>
      <c r="C127" s="38" t="s">
        <v>56</v>
      </c>
      <c r="D127" s="42">
        <f>TRUNC(4173,-1)</f>
        <v>4170</v>
      </c>
      <c r="E127" s="62">
        <f t="shared" si="4"/>
        <v>13780</v>
      </c>
    </row>
    <row r="128" spans="1:7" x14ac:dyDescent="0.3">
      <c r="A128" s="2">
        <v>7</v>
      </c>
      <c r="C128" s="38" t="s">
        <v>46</v>
      </c>
      <c r="D128" s="42">
        <f>TRUNC(6744,-1)</f>
        <v>6740</v>
      </c>
      <c r="E128" s="62">
        <f t="shared" si="4"/>
        <v>22280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TRUNC(17631,-1)</f>
        <v>17630</v>
      </c>
      <c r="E130" s="62">
        <f t="shared" si="4"/>
        <v>58280</v>
      </c>
    </row>
    <row r="131" spans="1:7" x14ac:dyDescent="0.3">
      <c r="A131" s="2">
        <v>10</v>
      </c>
      <c r="C131" s="38" t="s">
        <v>148</v>
      </c>
      <c r="D131" s="42">
        <f>TRUNC(78049,-1)</f>
        <v>78040</v>
      </c>
      <c r="E131" s="62">
        <f t="shared" si="4"/>
        <v>257980</v>
      </c>
    </row>
    <row r="132" spans="1:7" ht="17.25" thickBot="1" x14ac:dyDescent="0.35">
      <c r="A132" s="2">
        <v>11</v>
      </c>
      <c r="C132" s="38" t="s">
        <v>47</v>
      </c>
      <c r="D132" s="43">
        <f>TRUNC(2551+4532,-1)</f>
        <v>7080</v>
      </c>
      <c r="E132" s="63">
        <f t="shared" si="4"/>
        <v>23400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125990</v>
      </c>
      <c r="E133" s="39">
        <f>SUM(E122:E132)</f>
        <v>416460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TRUNC(2086+477,-1)</f>
        <v>2560</v>
      </c>
      <c r="E137" s="62">
        <f t="shared" si="5"/>
        <v>8460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TRUNC(4131,-1)</f>
        <v>4130</v>
      </c>
      <c r="E138" s="62">
        <f t="shared" si="5"/>
        <v>13650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TRUNC(1407,-1)</f>
        <v>1400</v>
      </c>
      <c r="E140" s="62">
        <f t="shared" si="5"/>
        <v>4620</v>
      </c>
    </row>
    <row r="141" spans="1:7" x14ac:dyDescent="0.3">
      <c r="A141" s="2">
        <v>6</v>
      </c>
      <c r="C141" s="38" t="s">
        <v>59</v>
      </c>
      <c r="D141" s="42">
        <f>TRUNC(20005,-1)</f>
        <v>20000</v>
      </c>
      <c r="E141" s="62">
        <f t="shared" si="5"/>
        <v>66110</v>
      </c>
    </row>
    <row r="142" spans="1:7" x14ac:dyDescent="0.3">
      <c r="A142" s="2">
        <v>7</v>
      </c>
      <c r="C142" s="38" t="s">
        <v>58</v>
      </c>
      <c r="D142" s="42">
        <f>TRUNC(5104,-1)</f>
        <v>5100</v>
      </c>
      <c r="E142" s="62">
        <f t="shared" si="5"/>
        <v>16850</v>
      </c>
    </row>
    <row r="143" spans="1:7" x14ac:dyDescent="0.3">
      <c r="A143" s="2">
        <v>8</v>
      </c>
      <c r="C143" s="38" t="s">
        <v>62</v>
      </c>
      <c r="D143" s="42">
        <v>3060</v>
      </c>
      <c r="E143" s="62">
        <f t="shared" si="5"/>
        <v>10110</v>
      </c>
    </row>
    <row r="144" spans="1:7" x14ac:dyDescent="0.3">
      <c r="A144" s="2">
        <v>9</v>
      </c>
      <c r="C144" s="38" t="s">
        <v>63</v>
      </c>
      <c r="D144" s="42">
        <f>TRUNC(8842,-1)</f>
        <v>8840</v>
      </c>
      <c r="E144" s="62">
        <f t="shared" si="5"/>
        <v>29220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45090</v>
      </c>
      <c r="E146" s="39">
        <f>SUM(E136:E145)</f>
        <v>149020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1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2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2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TRUNC(13303,-1)</f>
        <v>13300</v>
      </c>
      <c r="E157" s="61">
        <f>TRUNC(+D157*3.3058,-1)</f>
        <v>43960</v>
      </c>
    </row>
    <row r="158" spans="1:7" x14ac:dyDescent="0.3">
      <c r="A158" s="2">
        <v>2</v>
      </c>
      <c r="C158" s="38" t="s">
        <v>52</v>
      </c>
      <c r="D158" s="42">
        <f>TRUNC(20743,-1)</f>
        <v>20740</v>
      </c>
      <c r="E158" s="62">
        <f>TRUNC(+D158*3.3058,-1)</f>
        <v>68560</v>
      </c>
    </row>
    <row r="159" spans="1:7" x14ac:dyDescent="0.3">
      <c r="A159" s="2">
        <v>3</v>
      </c>
      <c r="C159" s="38" t="s">
        <v>47</v>
      </c>
      <c r="D159" s="42">
        <f>4420+4910</f>
        <v>9330</v>
      </c>
      <c r="E159" s="62">
        <f>TRUNC(+D159*3.3058,-1)</f>
        <v>30840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43370</v>
      </c>
      <c r="E161" s="39">
        <f>SUM(E157:E160)</f>
        <v>143360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2020-12-07T10:10:33Z</dcterms:modified>
</cp:coreProperties>
</file>