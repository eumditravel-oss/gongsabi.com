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6" i="4"/>
  <c r="E124" i="4"/>
  <c r="E123" i="4"/>
  <c r="E116" i="4"/>
  <c r="E113" i="4"/>
  <c r="E112" i="4"/>
  <c r="E111" i="4"/>
  <c r="E110" i="4"/>
  <c r="E109" i="4"/>
  <c r="E107" i="4"/>
  <c r="E106" i="4"/>
  <c r="E103" i="4"/>
  <c r="E92" i="4"/>
  <c r="E89" i="4"/>
  <c r="E88" i="4"/>
  <c r="E86" i="4"/>
  <c r="E83" i="4"/>
  <c r="E82" i="4"/>
  <c r="E81" i="4"/>
  <c r="E80" i="4"/>
  <c r="E79" i="4"/>
  <c r="E78" i="4"/>
  <c r="E77" i="4"/>
  <c r="E76" i="4"/>
  <c r="E74" i="4"/>
  <c r="E73" i="4"/>
  <c r="E65" i="4"/>
  <c r="E64" i="4"/>
  <c r="E63" i="4"/>
  <c r="E66" i="4" s="1"/>
  <c r="E57" i="4"/>
  <c r="E56" i="4"/>
  <c r="E54" i="4"/>
  <c r="E47" i="4"/>
  <c r="E154" i="4" l="1"/>
  <c r="E146" i="4"/>
  <c r="D132" i="4"/>
  <c r="E132" i="4" s="1"/>
  <c r="D130" i="4"/>
  <c r="E130" i="4" s="1"/>
  <c r="D128" i="4"/>
  <c r="E128" i="4" s="1"/>
  <c r="D127" i="4"/>
  <c r="E127" i="4" s="1"/>
  <c r="D125" i="4"/>
  <c r="E125" i="4" s="1"/>
  <c r="D122" i="4"/>
  <c r="E122" i="4" s="1"/>
  <c r="D104" i="4"/>
  <c r="E104" i="4" s="1"/>
  <c r="D118" i="4"/>
  <c r="E118" i="4" s="1"/>
  <c r="D108" i="4"/>
  <c r="E108" i="4" s="1"/>
  <c r="D105" i="4"/>
  <c r="E105" i="4" s="1"/>
  <c r="D102" i="4"/>
  <c r="E102" i="4" s="1"/>
  <c r="D101" i="4"/>
  <c r="E101" i="4" s="1"/>
  <c r="D100" i="4"/>
  <c r="E100" i="4" s="1"/>
  <c r="D99" i="4"/>
  <c r="E99" i="4" s="1"/>
  <c r="D98" i="4"/>
  <c r="E98" i="4" s="1"/>
  <c r="D115" i="4"/>
  <c r="E115" i="4" s="1"/>
  <c r="D114" i="4"/>
  <c r="E114" i="4" s="1"/>
  <c r="D84" i="4"/>
  <c r="E84" i="4" s="1"/>
  <c r="D94" i="4"/>
  <c r="E94" i="4" s="1"/>
  <c r="D91" i="4"/>
  <c r="E91" i="4" s="1"/>
  <c r="D90" i="4"/>
  <c r="E90" i="4" s="1"/>
  <c r="D87" i="4"/>
  <c r="E87" i="4" s="1"/>
  <c r="D85" i="4"/>
  <c r="E85" i="4" s="1"/>
  <c r="D75" i="4"/>
  <c r="E75" i="4" s="1"/>
  <c r="D72" i="4"/>
  <c r="E72" i="4" s="1"/>
  <c r="D71" i="4"/>
  <c r="E71" i="4" s="1"/>
  <c r="D70" i="4"/>
  <c r="E70" i="4" s="1"/>
  <c r="D69" i="4"/>
  <c r="E69" i="4" s="1"/>
  <c r="D159" i="4"/>
  <c r="E159" i="4" s="1"/>
  <c r="E161" i="4" s="1"/>
  <c r="D152" i="4"/>
  <c r="E152" i="4" s="1"/>
  <c r="D58" i="4"/>
  <c r="E58" i="4" s="1"/>
  <c r="D131" i="4"/>
  <c r="E131" i="4" s="1"/>
  <c r="D117" i="4"/>
  <c r="E117" i="4" s="1"/>
  <c r="D93" i="4"/>
  <c r="E93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E95" i="4" l="1"/>
  <c r="E119" i="4"/>
  <c r="E133" i="4"/>
  <c r="D161" i="4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<sst xmlns="http://schemas.openxmlformats.org/spreadsheetml/2006/main" count="391" uniqueCount="266">
  <si>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</si>
  <si>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</si>
  <si>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</si>
  <si>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</si>
  <si>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</si>
  <si>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</si>
  <si>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</si>
  <si>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</si>
  <si>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</si>
  <si>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</si>
  <si>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</si>
  <si>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</si>
  <si>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</si>
  <si>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</si>
  <si>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</si>
  <si>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</si>
  <si>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</si>
  <si>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</si>
  <si>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</si>
  <si>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</si>
  <si>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</si>
  <si>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</si>
  <si>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</si>
  <si>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</si>
  <si>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</si>
  <si>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</si>
  <si>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</si>
  <si>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</si>
  <si>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</si>
  <si>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</si>
  <si>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</si>
  <si>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</si>
  <si>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</si>
  <si>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</si>
  <si>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</si>
  <si>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</si>
  <si>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</si>
  <si>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</si>
  <si>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</si>
  <si>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</si>
  <si>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</si>
  <si>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</si>
  <si>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</si>
  <si>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</si>
  <si>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</si>
  <si>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</si>
  <si>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</si>
  <si>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</si>
  <si>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</si>
  <si>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</si>
  <si>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</si>
  <si>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</si>
  <si>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</si>
  <si>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</si>
  <si>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</si>
  <si>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</si>
  <si>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</si>
  <si>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</si>
  <si>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</si>
  <si>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</si>
  <si>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</si>
  <si>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</si>
  <si>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</si>
  <si>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</si>
  <si>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</si>
  <si>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</si>
  <si>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</si>
  <si>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</si>
  <si>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</si>
  <si>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</si>
  <si>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</si>
  <si>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</si>
  <si>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</si>
  <si>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</si>
  <si>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</si>
  <si>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</si>
  <si>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</si>
  <si>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</si>
  <si>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</si>
  <si>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</si>
  <si>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</si>
  <si>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</si>
  <si>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</si>
  <si>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</si>
  <si>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</si>
  <si>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</si>
  <si>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</si>
  <si>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</si>
  <si>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</si>
  <si>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</si>
  <si>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</si>
  <si>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</si>
  <si>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</si>
  <si>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</si>
  <si>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</si>
  <si>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</si>
  <si>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</si>
  <si>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</si>
  <si>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</si>
  <si>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</si>
  <si>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</si>
  <si>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</si>
  <si>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</si>
  <si>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</si>
  <si>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</si>
  <si>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</si>
  <si>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</si>
  <si>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</si>
  <si>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</si>
  <si>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</si>
  <si>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</si>
  <si>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</si>
  <si>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</si>
  <si>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</si>
  <si>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</si>
  <si>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</si>
  <si>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</si>
  <si>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</si>
  <si>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</si>
  <si>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</si>
  <si>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</si>
  <si>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</si>
  <si>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</si>
  <si>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</si>
  <si>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</si>
  <si>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</si>
  <si>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</si>
  <si>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</si>
  <si>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</si>
  <si>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</si>
  <si>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</si>
  <si>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</si>
  <si>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</si>
  <si>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</si>
  <si>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</si>
  <si>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</si>
  <si>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</si>
  <si>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</si>
  <si>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</si>
  <si>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</si>
  <si>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</si>
  <si>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</si>
  <si>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</si>
  <si>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</si>
  <si>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</si>
  <si>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</si>
  <si>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</si>
  <si>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</si>
  <si>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</si>
  <si>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</si>
  <si>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</si>
  <si>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</si>
  <si>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</si>
  <si>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</si>
  <si>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</si>
  <si>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</si>
  <si>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</si>
  <si>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</si>
  <si>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</si>
  <si>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</si>
  <si>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</si>
  <si>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</si>
  <si>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</si>
  <si>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</si>
  <si>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</si>
  <si>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</si>
  <si>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</si>
  <si>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</si>
  <si>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</si>
  <si>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</si>
  <si>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</si>
  <si>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</si>
  <si>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</si>
  <si>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</si>
  <si>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</si>
  <si>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</si>
  <si>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</si>
  <si>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</si>
  <si>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</si>
  <si>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</si>
  <si>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</si>
  <si>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</si>
  <si>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</si>
  <si>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</si>
  <si>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</si>
  <si>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</si>
  <si>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</si>
  <si>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</si>
  <si>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</si>
  <si>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</si>
  <si>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</si>
  <si>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</si>
  <si>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</si>
  <si>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</si>
  <si>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</si>
  <si>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</si>
  <si>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</si>
  <si>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</si>
  <si>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</si>
  <si>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</si>
  <si>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</si>
  <si>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</si>
  <si>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</si>
  <si>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</si>
  <si>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</si>
  <si>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</si>
  <si>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</si>
  <si>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</si>
  <si>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</si>
  <si>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</si>
  <si>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</si>
  <si>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</si>
  <si>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</si>
  <si>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</si>
  <si>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</si>
  <si>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</si>
  <si>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</si>
  <si>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</si>
  <si>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</si>
  <si>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</si>
  <si>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</si>
  <si>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</si>
  <si>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</si>
  <si>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</si>
  <si>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</si>
  <si>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</si>
  <si>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</si>
  <si>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</si>
  <si>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</si>
  <si>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</si>
  <si>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</si>
  <si>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</si>
  <si>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</si>
  <si>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</si>
  <si>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</si>
  <si>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</si>
  <si>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</si>
  <si>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</si>
  <si>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</si>
  <si>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</si>
  <si>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</si>
  <si>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</si>
  <si>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</si>
  <si>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</si>
  <si>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</si>
  <si>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</si>
  <si>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</si>
  <si>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</si>
  <si>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0000000보존센터 건립 신축공사</t>
    <phoneticPr fontId="2" type="noConversion"/>
  </si>
  <si>
    <t>문화및집회</t>
  </si>
  <si>
    <t>경기도</t>
  </si>
  <si>
    <t>부대조경공사</t>
    <phoneticPr fontId="2" type="noConversion"/>
  </si>
  <si>
    <t>토및지정공사,판넬공사,자기장차단시설,기타공사,골대비,작업부산물,운반비</t>
    <phoneticPr fontId="2" type="noConversion"/>
  </si>
  <si>
    <t>부대토목공사(흙막이공사포함)</t>
    <phoneticPr fontId="2" type="noConversion"/>
  </si>
  <si>
    <t>위생배관공사,증기배관공사,유니트쿨러내화실란트공사</t>
    <phoneticPr fontId="2" type="noConversion"/>
  </si>
  <si>
    <t>천정형난방기설치공사</t>
    <phoneticPr fontId="2" type="noConversion"/>
  </si>
  <si>
    <t>가설사무소</t>
    <phoneticPr fontId="2" type="noConversion"/>
  </si>
  <si>
    <t>매쉬 접지및피뢰 설비공사</t>
    <phoneticPr fontId="2" type="noConversion"/>
  </si>
  <si>
    <t>CCTV설비공사,가설사무소</t>
    <phoneticPr fontId="2" type="noConversion"/>
  </si>
  <si>
    <t>전기 소방공사</t>
    <phoneticPr fontId="2" type="noConversion"/>
  </si>
  <si>
    <t>기계 소화설비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</si>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</sst>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F10" sqref="F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9092</v>
      </c>
      <c r="D7" s="36">
        <f>+C7/3.3058</f>
        <v>2750.3176235706937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2390</v>
      </c>
      <c r="E24" s="58">
        <f t="shared" ref="E24:E33" si="0">TRUNC(+D24*3.3058,-1)</f>
        <v>7900</v>
      </c>
    </row>
    <row r="25" spans="1:5" x14ac:dyDescent="0.3">
      <c r="B25" s="2">
        <v>2</v>
      </c>
      <c r="C25" s="35" t="s">
        <v>111</v>
      </c>
      <c r="D25" s="45">
        <f>+D60</f>
        <v>768980</v>
      </c>
      <c r="E25" s="59">
        <f t="shared" si="0"/>
        <v>2542090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475110</v>
      </c>
      <c r="E27" s="59">
        <f t="shared" si="0"/>
        <v>1570610</v>
      </c>
    </row>
    <row r="28" spans="1:5" x14ac:dyDescent="0.3">
      <c r="B28" s="2">
        <v>5</v>
      </c>
      <c r="C28" s="35" t="s">
        <v>97</v>
      </c>
      <c r="D28" s="45">
        <f>+D119</f>
        <v>284410</v>
      </c>
      <c r="E28" s="59">
        <f t="shared" si="0"/>
        <v>940200</v>
      </c>
    </row>
    <row r="29" spans="1:5" x14ac:dyDescent="0.3">
      <c r="B29" s="2">
        <v>6</v>
      </c>
      <c r="C29" s="35" t="s">
        <v>98</v>
      </c>
      <c r="D29" s="45">
        <f>+D133</f>
        <v>107970</v>
      </c>
      <c r="E29" s="59">
        <f t="shared" si="0"/>
        <v>356920</v>
      </c>
    </row>
    <row r="30" spans="1:5" x14ac:dyDescent="0.3">
      <c r="B30" s="2">
        <v>7</v>
      </c>
      <c r="C30" s="35" t="s">
        <v>99</v>
      </c>
      <c r="D30" s="45">
        <f>+D146</f>
        <v>103370</v>
      </c>
      <c r="E30" s="59">
        <f t="shared" si="0"/>
        <v>341720</v>
      </c>
    </row>
    <row r="31" spans="1:5" x14ac:dyDescent="0.3">
      <c r="B31" s="2">
        <v>8</v>
      </c>
      <c r="C31" s="35" t="s">
        <v>100</v>
      </c>
      <c r="D31" s="45">
        <f>+D154</f>
        <v>59020</v>
      </c>
      <c r="E31" s="59">
        <f t="shared" si="0"/>
        <v>195100</v>
      </c>
    </row>
    <row r="32" spans="1:5" x14ac:dyDescent="0.3">
      <c r="B32" s="2">
        <v>9</v>
      </c>
      <c r="C32" s="35" t="s">
        <v>101</v>
      </c>
      <c r="D32" s="45">
        <f>+D161</f>
        <v>18980</v>
      </c>
      <c r="E32" s="59">
        <f t="shared" si="0"/>
        <v>62740</v>
      </c>
    </row>
    <row r="33" spans="1:7" x14ac:dyDescent="0.3">
      <c r="B33" s="2">
        <v>10</v>
      </c>
      <c r="C33" s="35" t="s">
        <v>154</v>
      </c>
      <c r="D33" s="53">
        <f>TRUNC(SUM(D24:D32)*0.275,-1)</f>
        <v>500560</v>
      </c>
      <c r="E33" s="60">
        <f t="shared" si="0"/>
        <v>1654750</v>
      </c>
    </row>
    <row r="34" spans="1:7" x14ac:dyDescent="0.3">
      <c r="C34" s="35" t="s">
        <v>112</v>
      </c>
      <c r="D34" s="44">
        <f>SUM(D24:D33)</f>
        <v>2320790</v>
      </c>
      <c r="E34" s="44">
        <f>SUM(E24:E33)</f>
        <v>7672030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TRUNC(2397,-1)</f>
        <v>2390</v>
      </c>
      <c r="E37" s="61">
        <f>TRUNC(+D37*3.3058,-1)</f>
        <v>7900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TRUNC(47783,-1)</f>
        <v>47780</v>
      </c>
      <c r="E40" s="62">
        <f t="shared" ref="E40:E59" si="1">TRUNC(+D40*3.3058,-1)</f>
        <v>157950</v>
      </c>
    </row>
    <row r="41" spans="1:7" x14ac:dyDescent="0.3">
      <c r="A41" s="2">
        <v>2</v>
      </c>
      <c r="C41" s="38" t="s">
        <v>13</v>
      </c>
      <c r="D41" s="42">
        <f>TRUNC(119291,-1)</f>
        <v>119290</v>
      </c>
      <c r="E41" s="63">
        <f t="shared" si="1"/>
        <v>394340</v>
      </c>
    </row>
    <row r="42" spans="1:7" x14ac:dyDescent="0.3">
      <c r="A42" s="2">
        <v>3</v>
      </c>
      <c r="C42" s="38" t="s">
        <v>14</v>
      </c>
      <c r="D42" s="42">
        <f>TRUNC(3187,-1)</f>
        <v>3180</v>
      </c>
      <c r="E42" s="63">
        <f t="shared" si="1"/>
        <v>10510</v>
      </c>
    </row>
    <row r="43" spans="1:7" x14ac:dyDescent="0.3">
      <c r="A43" s="2">
        <v>4</v>
      </c>
      <c r="C43" s="38" t="s">
        <v>16</v>
      </c>
      <c r="D43" s="42">
        <f>TRUNC(9923,-1)</f>
        <v>9920</v>
      </c>
      <c r="E43" s="63">
        <f t="shared" si="1"/>
        <v>32790</v>
      </c>
    </row>
    <row r="44" spans="1:7" x14ac:dyDescent="0.3">
      <c r="A44" s="2">
        <v>5</v>
      </c>
      <c r="C44" s="38" t="s">
        <v>17</v>
      </c>
      <c r="D44" s="42">
        <f>TRUNC(26287,-1)</f>
        <v>26280</v>
      </c>
      <c r="E44" s="63">
        <f t="shared" si="1"/>
        <v>86870</v>
      </c>
    </row>
    <row r="45" spans="1:7" x14ac:dyDescent="0.3">
      <c r="A45" s="2">
        <v>6</v>
      </c>
      <c r="C45" s="38" t="s">
        <v>18</v>
      </c>
      <c r="D45" s="42">
        <f>TRUNC(2304,-1)</f>
        <v>2300</v>
      </c>
      <c r="E45" s="63">
        <f t="shared" si="1"/>
        <v>7600</v>
      </c>
    </row>
    <row r="46" spans="1:7" x14ac:dyDescent="0.3">
      <c r="A46" s="2">
        <v>7</v>
      </c>
      <c r="C46" s="38" t="s">
        <v>19</v>
      </c>
      <c r="D46" s="42">
        <f>TRUNC(41210,-1)</f>
        <v>41210</v>
      </c>
      <c r="E46" s="63">
        <f t="shared" si="1"/>
        <v>136230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TRUNC(49571,-1)</f>
        <v>49570</v>
      </c>
      <c r="E48" s="63">
        <f t="shared" si="1"/>
        <v>163860</v>
      </c>
    </row>
    <row r="49" spans="1:7" x14ac:dyDescent="0.3">
      <c r="A49" s="2">
        <v>10</v>
      </c>
      <c r="C49" s="38" t="s">
        <v>22</v>
      </c>
      <c r="D49" s="42">
        <f>TRUNC(33374,-1)</f>
        <v>33370</v>
      </c>
      <c r="E49" s="63">
        <f t="shared" si="1"/>
        <v>110310</v>
      </c>
    </row>
    <row r="50" spans="1:7" x14ac:dyDescent="0.3">
      <c r="A50" s="2">
        <v>11</v>
      </c>
      <c r="C50" s="38" t="s">
        <v>155</v>
      </c>
      <c r="D50" s="42">
        <f>TRUNC(27570,-1)</f>
        <v>27570</v>
      </c>
      <c r="E50" s="63">
        <f t="shared" si="1"/>
        <v>91140</v>
      </c>
    </row>
    <row r="51" spans="1:7" x14ac:dyDescent="0.3">
      <c r="A51" s="2">
        <v>12</v>
      </c>
      <c r="C51" s="38" t="s">
        <v>23</v>
      </c>
      <c r="D51" s="42">
        <f>TRUNC(9256,-1)</f>
        <v>9250</v>
      </c>
      <c r="E51" s="63">
        <f t="shared" si="1"/>
        <v>30570</v>
      </c>
    </row>
    <row r="52" spans="1:7" x14ac:dyDescent="0.3">
      <c r="A52" s="2">
        <v>13</v>
      </c>
      <c r="C52" s="38" t="s">
        <v>24</v>
      </c>
      <c r="D52" s="42">
        <f>TRUNC(6632,-1)</f>
        <v>6630</v>
      </c>
      <c r="E52" s="63">
        <f t="shared" si="1"/>
        <v>21910</v>
      </c>
    </row>
    <row r="53" spans="1:7" x14ac:dyDescent="0.3">
      <c r="A53" s="2">
        <v>14</v>
      </c>
      <c r="C53" s="38" t="s">
        <v>25</v>
      </c>
      <c r="D53" s="42">
        <f>TRUNC(104458,-1)</f>
        <v>104450</v>
      </c>
      <c r="E53" s="63">
        <f t="shared" si="1"/>
        <v>345290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TRUNC(1689,-1)</f>
        <v>1680</v>
      </c>
      <c r="E55" s="63">
        <f t="shared" si="1"/>
        <v>5550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TRUNC(33891+19692+13514+4415+2608-1071+1353,-1)</f>
        <v>74400</v>
      </c>
      <c r="E58" s="63">
        <f t="shared" si="1"/>
        <v>245950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TRUNC(212100,-1)</f>
        <v>212100</v>
      </c>
      <c r="E59" s="64">
        <f t="shared" si="1"/>
        <v>701160</v>
      </c>
    </row>
    <row r="60" spans="1:7" x14ac:dyDescent="0.3">
      <c r="A60" s="2">
        <v>21</v>
      </c>
      <c r="C60" s="27" t="s">
        <v>112</v>
      </c>
      <c r="D60" s="39">
        <f>SUM(D40:D59)</f>
        <v>768980</v>
      </c>
      <c r="E60" s="39">
        <f>SUM(E40:E59)</f>
        <v>2542030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TRUNC(14946,-1)</f>
        <v>14940</v>
      </c>
      <c r="E69" s="62">
        <f t="shared" ref="E69:E94" si="2">TRUNC(+D69*3.3058,-1)</f>
        <v>49380</v>
      </c>
    </row>
    <row r="70" spans="1:7" ht="16.5" customHeight="1" x14ac:dyDescent="0.3">
      <c r="A70" s="2">
        <v>2</v>
      </c>
      <c r="C70" s="38" t="s">
        <v>31</v>
      </c>
      <c r="D70" s="42">
        <f>TRUNC(400,-1)</f>
        <v>400</v>
      </c>
      <c r="E70" s="63">
        <f t="shared" si="2"/>
        <v>1320</v>
      </c>
    </row>
    <row r="71" spans="1:7" x14ac:dyDescent="0.3">
      <c r="A71" s="2">
        <v>3</v>
      </c>
      <c r="C71" s="38" t="s">
        <v>32</v>
      </c>
      <c r="D71" s="42">
        <f>TRUNC(4344,-1)</f>
        <v>4340</v>
      </c>
      <c r="E71" s="63">
        <f t="shared" si="2"/>
        <v>14340</v>
      </c>
    </row>
    <row r="72" spans="1:7" x14ac:dyDescent="0.3">
      <c r="A72" s="2">
        <v>4</v>
      </c>
      <c r="C72" s="38" t="s">
        <v>33</v>
      </c>
      <c r="D72" s="42">
        <f>TRUNC(4961,-1)</f>
        <v>4960</v>
      </c>
      <c r="E72" s="63">
        <f t="shared" si="2"/>
        <v>16390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TRUNC(3555,-1)</f>
        <v>3550</v>
      </c>
      <c r="E75" s="63">
        <f t="shared" si="2"/>
        <v>11730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TRUNC(435,-1)</f>
        <v>430</v>
      </c>
      <c r="E84" s="63">
        <f t="shared" si="2"/>
        <v>1420</v>
      </c>
      <c r="F84" s="2" t="s">
        <v>255</v>
      </c>
    </row>
    <row r="85" spans="1:7" x14ac:dyDescent="0.3">
      <c r="A85" s="2">
        <v>17</v>
      </c>
      <c r="C85" s="38" t="s">
        <v>123</v>
      </c>
      <c r="D85" s="42">
        <f>TRUNC(1140,-1)</f>
        <v>1140</v>
      </c>
      <c r="E85" s="63">
        <f t="shared" si="2"/>
        <v>3760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f>TRUNC(699,-1)</f>
        <v>690</v>
      </c>
      <c r="E87" s="63">
        <f t="shared" si="2"/>
        <v>2280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TRUNC(1402,-1)</f>
        <v>1400</v>
      </c>
      <c r="E90" s="63">
        <f t="shared" si="2"/>
        <v>4620</v>
      </c>
    </row>
    <row r="91" spans="1:7" x14ac:dyDescent="0.3">
      <c r="A91" s="2">
        <v>23</v>
      </c>
      <c r="C91" s="38" t="s">
        <v>37</v>
      </c>
      <c r="D91" s="42">
        <f>TRUNC(74048,-1)</f>
        <v>74040</v>
      </c>
      <c r="E91" s="63">
        <f t="shared" si="2"/>
        <v>244760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TRUNC(353789,-1)</f>
        <v>353780</v>
      </c>
      <c r="E93" s="63">
        <f t="shared" si="2"/>
        <v>1169520</v>
      </c>
    </row>
    <row r="94" spans="1:7" ht="17.25" thickBot="1" x14ac:dyDescent="0.35">
      <c r="A94" s="2">
        <v>26</v>
      </c>
      <c r="C94" s="38" t="s">
        <v>47</v>
      </c>
      <c r="D94" s="43">
        <f>TRUNC(6432+8159+855,-1)</f>
        <v>15440</v>
      </c>
      <c r="E94" s="64">
        <f t="shared" si="2"/>
        <v>51040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475110</v>
      </c>
      <c r="E95" s="39">
        <f>SUM(E69:E94)</f>
        <v>1570560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TRUNC(19238,-1)</f>
        <v>19230</v>
      </c>
      <c r="E98" s="62">
        <f t="shared" ref="E98:E118" si="3">TRUNC(+D98*3.3058,-1)</f>
        <v>63570</v>
      </c>
    </row>
    <row r="99" spans="1:7" x14ac:dyDescent="0.3">
      <c r="A99" s="2">
        <v>2</v>
      </c>
      <c r="C99" s="38" t="s">
        <v>40</v>
      </c>
      <c r="D99" s="42">
        <f>TRUNC(5203,-1)</f>
        <v>5200</v>
      </c>
      <c r="E99" s="63">
        <f t="shared" si="3"/>
        <v>17190</v>
      </c>
    </row>
    <row r="100" spans="1:7" x14ac:dyDescent="0.3">
      <c r="A100" s="2">
        <v>3</v>
      </c>
      <c r="C100" s="38" t="s">
        <v>41</v>
      </c>
      <c r="D100" s="42">
        <f>TRUNC(19832,-1)</f>
        <v>19830</v>
      </c>
      <c r="E100" s="63">
        <f t="shared" si="3"/>
        <v>65550</v>
      </c>
    </row>
    <row r="101" spans="1:7" x14ac:dyDescent="0.3">
      <c r="A101" s="2">
        <v>4</v>
      </c>
      <c r="C101" s="38" t="s">
        <v>42</v>
      </c>
      <c r="D101" s="42">
        <f>TRUNC(433,-1)</f>
        <v>430</v>
      </c>
      <c r="E101" s="63">
        <f t="shared" si="3"/>
        <v>1420</v>
      </c>
    </row>
    <row r="102" spans="1:7" x14ac:dyDescent="0.3">
      <c r="A102" s="2">
        <v>5</v>
      </c>
      <c r="C102" s="38" t="s">
        <v>43</v>
      </c>
      <c r="D102" s="42">
        <f>TRUNC(5214,-1)</f>
        <v>5210</v>
      </c>
      <c r="E102" s="63">
        <f t="shared" si="3"/>
        <v>17220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TRUNC(3633,-1)</f>
        <v>3630</v>
      </c>
      <c r="E104" s="63">
        <f t="shared" si="3"/>
        <v>12000</v>
      </c>
      <c r="F104" s="2" t="s">
        <v>257</v>
      </c>
    </row>
    <row r="105" spans="1:7" x14ac:dyDescent="0.3">
      <c r="A105" s="2">
        <v>8</v>
      </c>
      <c r="C105" s="38" t="s">
        <v>46</v>
      </c>
      <c r="D105" s="42">
        <f>TRUNC(5656,-1)</f>
        <v>5650</v>
      </c>
      <c r="E105" s="63">
        <f t="shared" si="3"/>
        <v>18670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TRUNC(5785,-1)</f>
        <v>5780</v>
      </c>
      <c r="E108" s="63">
        <f t="shared" si="3"/>
        <v>19100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TRUNC(1166,-1)</f>
        <v>1160</v>
      </c>
      <c r="E114" s="63">
        <f t="shared" si="3"/>
        <v>3830</v>
      </c>
    </row>
    <row r="115" spans="1:7" x14ac:dyDescent="0.3">
      <c r="A115" s="2">
        <v>18</v>
      </c>
      <c r="C115" s="38" t="s">
        <v>116</v>
      </c>
      <c r="D115" s="42">
        <f>TRUNC(14540,-1)</f>
        <v>14540</v>
      </c>
      <c r="E115" s="63">
        <f t="shared" si="3"/>
        <v>48060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TRUNC(203048,-1)</f>
        <v>203040</v>
      </c>
      <c r="E117" s="63">
        <f t="shared" si="3"/>
        <v>671200</v>
      </c>
    </row>
    <row r="118" spans="1:7" ht="17.25" thickBot="1" x14ac:dyDescent="0.35">
      <c r="A118" s="2">
        <v>21</v>
      </c>
      <c r="C118" s="38" t="s">
        <v>47</v>
      </c>
      <c r="D118" s="43">
        <f>TRUNC(715,-1)</f>
        <v>710</v>
      </c>
      <c r="E118" s="64">
        <f t="shared" si="3"/>
        <v>2340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284410</v>
      </c>
      <c r="E119" s="39">
        <f>SUM(E98:E118)</f>
        <v>940150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TRUNC(5536,-1)</f>
        <v>5530</v>
      </c>
      <c r="E122" s="62">
        <f t="shared" ref="E122:E132" si="4">TRUNC(+D122*3.3058,-1)</f>
        <v>18280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TRUNC(3439,-1)</f>
        <v>3430</v>
      </c>
      <c r="E125" s="63">
        <f t="shared" si="4"/>
        <v>11330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TRUNC(6751,-1)</f>
        <v>6750</v>
      </c>
      <c r="E127" s="63">
        <f t="shared" si="4"/>
        <v>22310</v>
      </c>
    </row>
    <row r="128" spans="1:7" x14ac:dyDescent="0.3">
      <c r="A128" s="2">
        <v>7</v>
      </c>
      <c r="C128" s="38" t="s">
        <v>46</v>
      </c>
      <c r="D128" s="42">
        <f>TRUNC(1940,-1)</f>
        <v>1940</v>
      </c>
      <c r="E128" s="63">
        <f t="shared" si="4"/>
        <v>6410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TRUNC(9749,-1)</f>
        <v>9740</v>
      </c>
      <c r="E130" s="63">
        <f t="shared" si="4"/>
        <v>32190</v>
      </c>
    </row>
    <row r="131" spans="1:7" x14ac:dyDescent="0.3">
      <c r="A131" s="2">
        <v>10</v>
      </c>
      <c r="C131" s="38" t="s">
        <v>148</v>
      </c>
      <c r="D131" s="42">
        <f>TRUNC(76294,-1)</f>
        <v>76290</v>
      </c>
      <c r="E131" s="63">
        <f t="shared" si="4"/>
        <v>252190</v>
      </c>
    </row>
    <row r="132" spans="1:7" ht="18" thickBot="1" x14ac:dyDescent="0.35">
      <c r="A132" s="2">
        <v>11</v>
      </c>
      <c r="C132" s="38" t="s">
        <v>47</v>
      </c>
      <c r="D132" s="43">
        <f>TRUNC(3575+715,-1)</f>
        <v>4290</v>
      </c>
      <c r="E132" s="64">
        <f t="shared" si="4"/>
        <v>14180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107970</v>
      </c>
      <c r="E133" s="39">
        <f>SUM(E122:E132)</f>
        <v>356890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78360</v>
      </c>
      <c r="E136" s="62">
        <f t="shared" ref="E136:E145" si="5">TRUNC(+D136*3.3058,-1)</f>
        <v>259040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TRUNC(25019,-1)</f>
        <v>25010</v>
      </c>
      <c r="E137" s="63">
        <f t="shared" si="5"/>
        <v>82670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103370</v>
      </c>
      <c r="E146" s="39">
        <f>SUM(E136:E145)</f>
        <v>341710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TRUNC(59028,-1)</f>
        <v>59020</v>
      </c>
      <c r="E152" s="63">
        <f>TRUNC(+D152*3.3058,-1)</f>
        <v>195100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59020</v>
      </c>
      <c r="E154" s="39">
        <f>SUM(E149:E153)</f>
        <v>195100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TRUNC(18989,-1)</f>
        <v>18980</v>
      </c>
      <c r="E159" s="63">
        <f>TRUNC(+D159*3.3058,-1)</f>
        <v>62740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18980</v>
      </c>
      <c r="E161" s="39">
        <f>SUM(E157:E160)</f>
        <v>62740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2020-12-07T09:38:38Z</dcterms:modified>
</cp:coreProperties>
</file>