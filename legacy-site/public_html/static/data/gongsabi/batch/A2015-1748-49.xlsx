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7" i="4" l="1"/>
  <c r="D153" i="4"/>
  <c r="D152" i="4"/>
  <c r="D150" i="4"/>
  <c r="D149" i="4"/>
  <c r="D145" i="4"/>
  <c r="D144" i="4"/>
  <c r="D143" i="4"/>
  <c r="D142" i="4"/>
  <c r="D141" i="4"/>
  <c r="D140" i="4"/>
  <c r="D137" i="4"/>
  <c r="D132" i="4"/>
  <c r="D131" i="4"/>
  <c r="D128" i="4"/>
  <c r="D126" i="4"/>
  <c r="D125" i="4"/>
  <c r="D124" i="4"/>
  <c r="D122" i="4"/>
  <c r="D118" i="4"/>
  <c r="D117" i="4"/>
  <c r="D116" i="4"/>
  <c r="D114" i="4"/>
  <c r="D105" i="4"/>
  <c r="D104" i="4"/>
  <c r="D102" i="4"/>
  <c r="D101" i="4"/>
  <c r="D99" i="4"/>
  <c r="D98" i="4"/>
  <c r="D94" i="4"/>
  <c r="D93" i="4"/>
  <c r="D92" i="4"/>
  <c r="D91" i="4"/>
  <c r="D90" i="4"/>
  <c r="D76" i="4"/>
  <c r="D75" i="4"/>
  <c r="D73" i="4"/>
  <c r="D72" i="4"/>
  <c r="D71" i="4"/>
  <c r="D69" i="4"/>
  <c r="D63" i="4"/>
  <c r="D59" i="4"/>
  <c r="D58" i="4"/>
  <c r="D52" i="4"/>
  <c r="D50" i="4"/>
  <c r="D49" i="4"/>
  <c r="D47" i="4"/>
  <c r="D46" i="4"/>
  <c r="D45" i="4"/>
  <c r="D44" i="4"/>
  <c r="D42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33" i="4"/>
  <c r="E154" i="4"/>
  <c r="E146" i="4"/>
  <c r="E119" i="4"/>
  <c r="E95" i="4"/>
  <c r="E60" i="4"/>
  <c r="D161" i="4"/>
  <c r="D32" i="4" s="1"/>
  <c r="E32" i="4" s="1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1" i="4"/>
  <c r="E31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<sst xmlns="http://schemas.openxmlformats.org/spreadsheetml/2006/main" count="393" uniqueCount="269">
  <si>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</si>
  <si>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</si>
  <si>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</si>
  <si>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</si>
  <si>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</si>
  <si>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</si>
  <si>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</si>
  <si>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</si>
  <si>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</si>
  <si>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</si>
  <si>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</si>
  <si>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</si>
  <si>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</si>
  <si>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</si>
  <si>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</si>
  <si>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</si>
  <si>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</si>
  <si>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</si>
  <si>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</si>
  <si>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</si>
  <si>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</si>
  <si>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</si>
  <si>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</si>
  <si>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</si>
  <si>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</si>
  <si>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</si>
  <si>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</si>
  <si>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</si>
  <si>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</si>
  <si>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</si>
  <si>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</si>
  <si>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</si>
  <si>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</si>
  <si>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</si>
  <si>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</si>
  <si>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</si>
  <si>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</si>
  <si>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</si>
  <si>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</si>
  <si>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</si>
  <si>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</si>
  <si>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</si>
  <si>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</si>
  <si>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</si>
  <si>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</si>
  <si>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</si>
  <si>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</si>
  <si>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</si>
  <si>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</si>
  <si>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</si>
  <si>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</si>
  <si>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</si>
  <si>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</si>
  <si>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</si>
  <si>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</si>
  <si>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</si>
  <si>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</si>
  <si>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</si>
  <si>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</si>
  <si>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</si>
  <si>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</si>
  <si>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</si>
  <si>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</si>
  <si>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</si>
  <si>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</si>
  <si>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</si>
  <si>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</si>
  <si>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</si>
  <si>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</si>
  <si>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</si>
  <si>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</si>
  <si>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</si>
  <si>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</si>
  <si>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</si>
  <si>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</si>
  <si>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</si>
  <si>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</si>
  <si>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</si>
  <si>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</si>
  <si>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</si>
  <si>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</si>
  <si>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</si>
  <si>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</si>
  <si>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</si>
  <si>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</si>
  <si>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</si>
  <si>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</si>
  <si>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</si>
  <si>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</si>
  <si>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</si>
  <si>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</si>
  <si>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</si>
  <si>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</si>
  <si>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</si>
  <si>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</si>
  <si>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</si>
  <si>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</si>
  <si>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</si>
  <si>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</si>
  <si>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</si>
  <si>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</si>
  <si>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</si>
  <si>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</si>
  <si>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</si>
  <si>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</si>
  <si>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</si>
  <si>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</si>
  <si>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</si>
  <si>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</si>
  <si>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</si>
  <si>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</si>
  <si>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</si>
  <si>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</si>
  <si>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</si>
  <si>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</si>
  <si>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</si>
  <si>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</si>
  <si>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</si>
  <si>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</si>
  <si>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</si>
  <si>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</si>
  <si>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</si>
  <si>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</si>
  <si>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</si>
  <si>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</si>
  <si>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</si>
  <si>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</si>
  <si>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</si>
  <si>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</si>
  <si>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</si>
  <si>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</si>
  <si>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</si>
  <si>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</si>
  <si>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</si>
  <si>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</si>
  <si>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</si>
  <si>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</si>
  <si>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</si>
  <si>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</si>
  <si>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</si>
  <si>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</si>
  <si>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</si>
  <si>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</si>
  <si>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</si>
  <si>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</si>
  <si>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</si>
  <si>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</si>
  <si>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</si>
  <si>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</si>
  <si>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</si>
  <si>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</si>
  <si>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</si>
  <si>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</si>
  <si>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</si>
  <si>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</si>
  <si>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</si>
  <si>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</si>
  <si>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</si>
  <si>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</si>
  <si>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</si>
  <si>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</si>
  <si>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</si>
  <si>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</si>
  <si>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</si>
  <si>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</si>
  <si>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</si>
  <si>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</si>
  <si>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</si>
  <si>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</si>
  <si>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</si>
  <si>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</si>
  <si>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</si>
  <si>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</si>
  <si>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</si>
  <si>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</si>
  <si>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</si>
  <si>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</si>
  <si>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</si>
  <si>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</si>
  <si>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</si>
  <si>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</si>
  <si>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</si>
  <si>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</si>
  <si>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</si>
  <si>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</si>
  <si>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</si>
  <si>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</si>
  <si>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</si>
  <si>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</si>
  <si>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</si>
  <si>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</si>
  <si>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</si>
  <si>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</si>
  <si>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</si>
  <si>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</si>
  <si>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</si>
  <si>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</si>
  <si>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</si>
  <si>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</si>
  <si>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</si>
  <si>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</si>
  <si>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</si>
  <si>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</si>
  <si>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</si>
  <si>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</si>
  <si>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</si>
  <si>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</si>
  <si>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</si>
  <si>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</si>
  <si>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</si>
  <si>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</si>
  <si>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</si>
  <si>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</si>
  <si>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</si>
  <si>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</si>
  <si>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</si>
  <si>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</si>
  <si>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</si>
  <si>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</si>
  <si>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</si>
  <si>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</si>
  <si>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</si>
  <si>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</si>
  <si>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</si>
  <si>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</si>
  <si>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</si>
  <si>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</si>
  <si>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</si>
  <si>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</si>
  <si>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</si>
  <si>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</si>
  <si>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</si>
  <si>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</si>
  <si>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</si>
  <si>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</si>
  <si>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</si>
  <si>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</si>
  <si>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</si>
  <si>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</si>
  <si>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</si>
  <si>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</si>
  <si>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</si>
  <si>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</si>
  <si>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</si>
  <si>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</si>
  <si>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</si>
  <si>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</si>
  <si>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</si>
  <si>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항 목</t>
    <phoneticPr fontId="2" type="noConversion"/>
  </si>
  <si>
    <t>원/ m2</t>
    <phoneticPr fontId="2" type="noConversion"/>
  </si>
  <si>
    <t>원 /평</t>
    <phoneticPr fontId="2" type="noConversion"/>
  </si>
  <si>
    <t>지붕및홈통공사 포함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</si>
  <si>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</si>
  <si>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</si>
  <si>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CCTV설비공사, 기타공사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</si>
  <si>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</si>
  <si>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</si>
  <si>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2생활권 광역복지지원센터 신축공사</t>
    <phoneticPr fontId="2" type="noConversion"/>
  </si>
  <si>
    <t>세종시</t>
  </si>
  <si>
    <t>기타</t>
  </si>
  <si>
    <t>기초공사, 골재비및운반비, 작업부산물, 품질시험비, 기타공사</t>
    <phoneticPr fontId="2" type="noConversion"/>
  </si>
  <si>
    <t>공조배관공사,우수처리시설공사,기타공사</t>
    <phoneticPr fontId="2" type="noConversion"/>
  </si>
  <si>
    <t>옥외보안등설비공사</t>
    <phoneticPr fontId="2" type="noConversion"/>
  </si>
  <si>
    <t>원격검침 설비공사, 기타공사</t>
    <phoneticPr fontId="2" type="noConversion"/>
  </si>
  <si>
    <t>옥외소화배관공사, 펌프실배관공사, 무선통신보조설비공사</t>
    <phoneticPr fontId="2" type="noConversion"/>
  </si>
  <si>
    <t>상수도공사, 사급자재비, 운반비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</si>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</sst>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15664.06</v>
      </c>
      <c r="D7" s="36">
        <f>+C7/3.3058</f>
        <v>4738.3568273942765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755260</v>
      </c>
      <c r="E25" s="59">
        <f t="shared" si="0"/>
        <v>2496730</v>
      </c>
    </row>
    <row r="26" spans="1:5" x14ac:dyDescent="0.3">
      <c r="B26" s="2">
        <v>3</v>
      </c>
      <c r="C26" s="35" t="s">
        <v>95</v>
      </c>
      <c r="D26" s="45">
        <f>+D66</f>
        <v>22600</v>
      </c>
      <c r="E26" s="59">
        <f t="shared" si="0"/>
        <v>74710</v>
      </c>
    </row>
    <row r="27" spans="1:5" x14ac:dyDescent="0.3">
      <c r="B27" s="2">
        <v>4</v>
      </c>
      <c r="C27" s="35" t="s">
        <v>96</v>
      </c>
      <c r="D27" s="45">
        <f>+D95</f>
        <v>408860</v>
      </c>
      <c r="E27" s="59">
        <f t="shared" si="0"/>
        <v>1351600</v>
      </c>
    </row>
    <row r="28" spans="1:5" x14ac:dyDescent="0.3">
      <c r="B28" s="2">
        <v>5</v>
      </c>
      <c r="C28" s="35" t="s">
        <v>97</v>
      </c>
      <c r="D28" s="45">
        <f>+D119</f>
        <v>222910</v>
      </c>
      <c r="E28" s="59">
        <f t="shared" si="0"/>
        <v>736890</v>
      </c>
    </row>
    <row r="29" spans="1:5" x14ac:dyDescent="0.3">
      <c r="B29" s="2">
        <v>6</v>
      </c>
      <c r="C29" s="35" t="s">
        <v>98</v>
      </c>
      <c r="D29" s="45">
        <f>+D133</f>
        <v>90680</v>
      </c>
      <c r="E29" s="59">
        <f t="shared" si="0"/>
        <v>299760</v>
      </c>
    </row>
    <row r="30" spans="1:5" x14ac:dyDescent="0.3">
      <c r="B30" s="2">
        <v>7</v>
      </c>
      <c r="C30" s="35" t="s">
        <v>99</v>
      </c>
      <c r="D30" s="45">
        <f>+D146</f>
        <v>62510</v>
      </c>
      <c r="E30" s="59">
        <f t="shared" si="0"/>
        <v>206640</v>
      </c>
    </row>
    <row r="31" spans="1:5" x14ac:dyDescent="0.3">
      <c r="B31" s="2">
        <v>8</v>
      </c>
      <c r="C31" s="35" t="s">
        <v>100</v>
      </c>
      <c r="D31" s="45">
        <f>+D154</f>
        <v>35890</v>
      </c>
      <c r="E31" s="59">
        <f t="shared" si="0"/>
        <v>118640</v>
      </c>
    </row>
    <row r="32" spans="1:5" x14ac:dyDescent="0.3">
      <c r="B32" s="2">
        <v>9</v>
      </c>
      <c r="C32" s="35" t="s">
        <v>101</v>
      </c>
      <c r="D32" s="45">
        <f>+D161</f>
        <v>94350</v>
      </c>
      <c r="E32" s="59">
        <f t="shared" si="0"/>
        <v>311900</v>
      </c>
    </row>
    <row r="33" spans="1:7" x14ac:dyDescent="0.3">
      <c r="B33" s="2">
        <v>10</v>
      </c>
      <c r="C33" s="35" t="s">
        <v>154</v>
      </c>
      <c r="D33" s="53">
        <f>TRUNC(SUM(D24:D32)*0.275,-1)</f>
        <v>465590</v>
      </c>
      <c r="E33" s="60">
        <f t="shared" si="0"/>
        <v>1539140</v>
      </c>
    </row>
    <row r="34" spans="1:7" x14ac:dyDescent="0.3">
      <c r="C34" s="35" t="s">
        <v>112</v>
      </c>
      <c r="D34" s="44">
        <f>SUM(D24:D33)</f>
        <v>2158650</v>
      </c>
      <c r="E34" s="44">
        <f>SUM(E24:E33)</f>
        <v>7136010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248</v>
      </c>
      <c r="D39" s="57" t="s">
        <v>249</v>
      </c>
      <c r="E39" s="57" t="s">
        <v>250</v>
      </c>
      <c r="G39" s="55"/>
    </row>
    <row r="40" spans="1:7" x14ac:dyDescent="0.3">
      <c r="A40" s="2">
        <v>1</v>
      </c>
      <c r="C40" s="38" t="s">
        <v>15</v>
      </c>
      <c r="D40" s="40">
        <f>TRUNC(56831,-1)</f>
        <v>56830</v>
      </c>
      <c r="E40" s="62">
        <f t="shared" ref="E40:E59" si="1">TRUNC(+D40*3.3058,-1)</f>
        <v>187860</v>
      </c>
    </row>
    <row r="41" spans="1:7" x14ac:dyDescent="0.3">
      <c r="A41" s="2">
        <v>2</v>
      </c>
      <c r="C41" s="38" t="s">
        <v>13</v>
      </c>
      <c r="D41" s="42">
        <f>TRUNC(80504,-1)</f>
        <v>80500</v>
      </c>
      <c r="E41" s="63">
        <f t="shared" si="1"/>
        <v>266110</v>
      </c>
    </row>
    <row r="42" spans="1:7" x14ac:dyDescent="0.3">
      <c r="A42" s="2">
        <v>3</v>
      </c>
      <c r="C42" s="38" t="s">
        <v>14</v>
      </c>
      <c r="D42" s="42">
        <f>TRUNC(10925,-1)</f>
        <v>10920</v>
      </c>
      <c r="E42" s="63">
        <f t="shared" si="1"/>
        <v>36090</v>
      </c>
    </row>
    <row r="43" spans="1:7" x14ac:dyDescent="0.3">
      <c r="A43" s="2">
        <v>4</v>
      </c>
      <c r="C43" s="38" t="s">
        <v>16</v>
      </c>
      <c r="D43" s="42">
        <v>10470</v>
      </c>
      <c r="E43" s="63">
        <f t="shared" si="1"/>
        <v>34610</v>
      </c>
    </row>
    <row r="44" spans="1:7" x14ac:dyDescent="0.3">
      <c r="A44" s="2">
        <v>5</v>
      </c>
      <c r="C44" s="38" t="s">
        <v>17</v>
      </c>
      <c r="D44" s="42">
        <f>TRUNC(31826,-1)</f>
        <v>31820</v>
      </c>
      <c r="E44" s="63">
        <f t="shared" si="1"/>
        <v>105190</v>
      </c>
    </row>
    <row r="45" spans="1:7" x14ac:dyDescent="0.3">
      <c r="A45" s="2">
        <v>6</v>
      </c>
      <c r="C45" s="38" t="s">
        <v>18</v>
      </c>
      <c r="D45" s="42">
        <f>TRUNC(1289,-1)</f>
        <v>1280</v>
      </c>
      <c r="E45" s="63">
        <f t="shared" si="1"/>
        <v>4230</v>
      </c>
    </row>
    <row r="46" spans="1:7" x14ac:dyDescent="0.3">
      <c r="A46" s="2">
        <v>7</v>
      </c>
      <c r="C46" s="38" t="s">
        <v>19</v>
      </c>
      <c r="D46" s="42">
        <f>TRUNC(9491,-1)</f>
        <v>9490</v>
      </c>
      <c r="E46" s="63">
        <f t="shared" si="1"/>
        <v>31370</v>
      </c>
    </row>
    <row r="47" spans="1:7" x14ac:dyDescent="0.3">
      <c r="A47" s="2">
        <v>8</v>
      </c>
      <c r="C47" s="38" t="s">
        <v>20</v>
      </c>
      <c r="D47" s="42">
        <f>TRUNC(135018,-1)</f>
        <v>135010</v>
      </c>
      <c r="E47" s="63">
        <f t="shared" si="1"/>
        <v>446310</v>
      </c>
    </row>
    <row r="48" spans="1:7" x14ac:dyDescent="0.3">
      <c r="A48" s="2">
        <v>9</v>
      </c>
      <c r="C48" s="38" t="s">
        <v>21</v>
      </c>
      <c r="D48" s="42">
        <v>38250</v>
      </c>
      <c r="E48" s="63">
        <f t="shared" si="1"/>
        <v>126440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TRUNC(47469,-1)</f>
        <v>47460</v>
      </c>
      <c r="E49" s="63">
        <f t="shared" si="1"/>
        <v>156890</v>
      </c>
    </row>
    <row r="50" spans="1:7" x14ac:dyDescent="0.3">
      <c r="A50" s="2">
        <v>11</v>
      </c>
      <c r="C50" s="38" t="s">
        <v>155</v>
      </c>
      <c r="D50" s="42">
        <f>TRUNC(72042,-1)</f>
        <v>72040</v>
      </c>
      <c r="E50" s="63">
        <f t="shared" si="1"/>
        <v>238140</v>
      </c>
      <c r="F50" s="2" t="s">
        <v>255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TRUNC(12319,-1)</f>
        <v>12310</v>
      </c>
      <c r="E52" s="63">
        <f t="shared" si="1"/>
        <v>40690</v>
      </c>
    </row>
    <row r="53" spans="1:7" x14ac:dyDescent="0.3">
      <c r="A53" s="2">
        <v>14</v>
      </c>
      <c r="C53" s="38" t="s">
        <v>25</v>
      </c>
      <c r="D53" s="42">
        <v>0</v>
      </c>
      <c r="E53" s="63">
        <f t="shared" si="1"/>
        <v>0</v>
      </c>
      <c r="F53" s="2" t="s">
        <v>256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TRUNC(41750+2773-532+351+8145,-1)</f>
        <v>52480</v>
      </c>
      <c r="E58" s="63">
        <f t="shared" si="1"/>
        <v>173480</v>
      </c>
      <c r="F58" s="2" t="s">
        <v>260</v>
      </c>
    </row>
    <row r="59" spans="1:7" ht="17.25" thickBot="1" x14ac:dyDescent="0.35">
      <c r="A59" s="2">
        <v>20</v>
      </c>
      <c r="C59" s="38" t="s">
        <v>148</v>
      </c>
      <c r="D59" s="43">
        <f>TRUNC(196403,-1)</f>
        <v>196400</v>
      </c>
      <c r="E59" s="64">
        <f t="shared" si="1"/>
        <v>649250</v>
      </c>
    </row>
    <row r="60" spans="1:7" x14ac:dyDescent="0.3">
      <c r="A60" s="2">
        <v>21</v>
      </c>
      <c r="C60" s="27" t="s">
        <v>112</v>
      </c>
      <c r="D60" s="39">
        <f>SUM(D40:D59)</f>
        <v>755260</v>
      </c>
      <c r="E60" s="39">
        <f>SUM(E40:E59)</f>
        <v>2496660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TRUNC(22607,-1)</f>
        <v>22600</v>
      </c>
      <c r="E63" s="62">
        <f>TRUNC(+D63*3.3058,-1)</f>
        <v>74710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22600</v>
      </c>
      <c r="E66" s="65">
        <f>SUM(E63:E65)</f>
        <v>74710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TRUNC(14941,-1)</f>
        <v>14940</v>
      </c>
      <c r="E69" s="62">
        <f t="shared" ref="E69:E94" si="2">TRUNC(+D69*3.3058,-1)</f>
        <v>49380</v>
      </c>
    </row>
    <row r="70" spans="1:7" ht="16.5" customHeight="1" x14ac:dyDescent="0.3">
      <c r="A70" s="2">
        <v>2</v>
      </c>
      <c r="C70" s="38" t="s">
        <v>31</v>
      </c>
      <c r="D70" s="42">
        <v>440</v>
      </c>
      <c r="E70" s="63">
        <f t="shared" si="2"/>
        <v>1450</v>
      </c>
    </row>
    <row r="71" spans="1:7" x14ac:dyDescent="0.3">
      <c r="A71" s="2">
        <v>3</v>
      </c>
      <c r="C71" s="38" t="s">
        <v>32</v>
      </c>
      <c r="D71" s="42">
        <f>TRUNC(28813,-1)</f>
        <v>28810</v>
      </c>
      <c r="E71" s="63">
        <f t="shared" si="2"/>
        <v>95240</v>
      </c>
    </row>
    <row r="72" spans="1:7" x14ac:dyDescent="0.3">
      <c r="A72" s="2">
        <v>4</v>
      </c>
      <c r="C72" s="38" t="s">
        <v>33</v>
      </c>
      <c r="D72" s="42">
        <f>TRUNC(1528,-1)</f>
        <v>1520</v>
      </c>
      <c r="E72" s="63">
        <f t="shared" si="2"/>
        <v>5020</v>
      </c>
    </row>
    <row r="73" spans="1:7" x14ac:dyDescent="0.3">
      <c r="A73" s="2">
        <v>5</v>
      </c>
      <c r="C73" s="38" t="s">
        <v>34</v>
      </c>
      <c r="D73" s="42">
        <f>TRUNC(8814,-1)</f>
        <v>8810</v>
      </c>
      <c r="E73" s="63">
        <f t="shared" si="2"/>
        <v>29120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TRUNC(3417,-1)</f>
        <v>3410</v>
      </c>
      <c r="E75" s="63">
        <f t="shared" si="2"/>
        <v>11270</v>
      </c>
    </row>
    <row r="76" spans="1:7" x14ac:dyDescent="0.3">
      <c r="A76" s="2">
        <v>8</v>
      </c>
      <c r="C76" s="38" t="s">
        <v>119</v>
      </c>
      <c r="D76" s="42">
        <f>TRUNC(43728,-1)</f>
        <v>43720</v>
      </c>
      <c r="E76" s="63">
        <f t="shared" si="2"/>
        <v>144520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14330</v>
      </c>
      <c r="E89" s="63">
        <f t="shared" si="2"/>
        <v>47370</v>
      </c>
    </row>
    <row r="90" spans="1:7" x14ac:dyDescent="0.3">
      <c r="A90" s="2">
        <v>22</v>
      </c>
      <c r="C90" s="38" t="s">
        <v>36</v>
      </c>
      <c r="D90" s="42">
        <f>TRUNC(906,-1)</f>
        <v>900</v>
      </c>
      <c r="E90" s="63">
        <f t="shared" si="2"/>
        <v>2970</v>
      </c>
    </row>
    <row r="91" spans="1:7" x14ac:dyDescent="0.3">
      <c r="A91" s="2">
        <v>23</v>
      </c>
      <c r="C91" s="38" t="s">
        <v>37</v>
      </c>
      <c r="D91" s="42">
        <f>TRUNC(66067,-1)</f>
        <v>66060</v>
      </c>
      <c r="E91" s="63">
        <f t="shared" si="2"/>
        <v>218380</v>
      </c>
    </row>
    <row r="92" spans="1:7" x14ac:dyDescent="0.3">
      <c r="A92" s="2">
        <v>24</v>
      </c>
      <c r="C92" s="38" t="s">
        <v>38</v>
      </c>
      <c r="D92" s="42">
        <f>TRUNC(4356,-1)</f>
        <v>4350</v>
      </c>
      <c r="E92" s="63">
        <f t="shared" si="2"/>
        <v>14380</v>
      </c>
    </row>
    <row r="93" spans="1:7" x14ac:dyDescent="0.3">
      <c r="A93" s="2">
        <v>25</v>
      </c>
      <c r="C93" s="38" t="s">
        <v>148</v>
      </c>
      <c r="D93" s="42">
        <f>TRUNC(130592,-1)</f>
        <v>130590</v>
      </c>
      <c r="E93" s="63">
        <f t="shared" si="2"/>
        <v>431700</v>
      </c>
    </row>
    <row r="94" spans="1:7" ht="17.25" thickBot="1" x14ac:dyDescent="0.35">
      <c r="A94" s="2">
        <v>26</v>
      </c>
      <c r="C94" s="38" t="s">
        <v>47</v>
      </c>
      <c r="D94" s="43">
        <f>TRUNC(44813+3206+42969,-1)</f>
        <v>90980</v>
      </c>
      <c r="E94" s="64">
        <f t="shared" si="2"/>
        <v>300760</v>
      </c>
      <c r="F94" s="2" t="s">
        <v>261</v>
      </c>
    </row>
    <row r="95" spans="1:7" x14ac:dyDescent="0.3">
      <c r="A95" s="2">
        <v>27</v>
      </c>
      <c r="C95" s="27" t="s">
        <v>112</v>
      </c>
      <c r="D95" s="39">
        <f>SUM(D69:D94)</f>
        <v>408860</v>
      </c>
      <c r="E95" s="39">
        <f>SUM(E69:E94)</f>
        <v>1351560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TRUNC(15591,-1)</f>
        <v>15590</v>
      </c>
      <c r="E98" s="62">
        <f t="shared" ref="E98:E118" si="3">TRUNC(+D98*3.3058,-1)</f>
        <v>51530</v>
      </c>
    </row>
    <row r="99" spans="1:7" x14ac:dyDescent="0.3">
      <c r="A99" s="2">
        <v>2</v>
      </c>
      <c r="C99" s="38" t="s">
        <v>40</v>
      </c>
      <c r="D99" s="42">
        <f>TRUNC(11998,-1)</f>
        <v>11990</v>
      </c>
      <c r="E99" s="63">
        <f t="shared" si="3"/>
        <v>39630</v>
      </c>
    </row>
    <row r="100" spans="1:7" x14ac:dyDescent="0.3">
      <c r="A100" s="2">
        <v>3</v>
      </c>
      <c r="C100" s="38" t="s">
        <v>41</v>
      </c>
      <c r="D100" s="42">
        <v>33580</v>
      </c>
      <c r="E100" s="63">
        <f t="shared" si="3"/>
        <v>111000</v>
      </c>
    </row>
    <row r="101" spans="1:7" x14ac:dyDescent="0.3">
      <c r="A101" s="2">
        <v>4</v>
      </c>
      <c r="C101" s="38" t="s">
        <v>42</v>
      </c>
      <c r="D101" s="42">
        <f>TRUNC(2285,-1)</f>
        <v>2280</v>
      </c>
      <c r="E101" s="63">
        <f t="shared" si="3"/>
        <v>7530</v>
      </c>
    </row>
    <row r="102" spans="1:7" x14ac:dyDescent="0.3">
      <c r="A102" s="2">
        <v>5</v>
      </c>
      <c r="C102" s="38" t="s">
        <v>43</v>
      </c>
      <c r="D102" s="42">
        <f>TRUNC(8264,-1)</f>
        <v>8260</v>
      </c>
      <c r="E102" s="63">
        <f t="shared" si="3"/>
        <v>27300</v>
      </c>
    </row>
    <row r="103" spans="1:7" x14ac:dyDescent="0.3">
      <c r="A103" s="2">
        <v>6</v>
      </c>
      <c r="C103" s="38" t="s">
        <v>44</v>
      </c>
      <c r="D103" s="42">
        <v>3500</v>
      </c>
      <c r="E103" s="63">
        <f t="shared" si="3"/>
        <v>11570</v>
      </c>
    </row>
    <row r="104" spans="1:7" x14ac:dyDescent="0.3">
      <c r="A104" s="2">
        <v>7</v>
      </c>
      <c r="C104" s="38" t="s">
        <v>45</v>
      </c>
      <c r="D104" s="42">
        <f>TRUNC(2161,-1)</f>
        <v>2160</v>
      </c>
      <c r="E104" s="63">
        <f t="shared" si="3"/>
        <v>7140</v>
      </c>
    </row>
    <row r="105" spans="1:7" x14ac:dyDescent="0.3">
      <c r="A105" s="2">
        <v>8</v>
      </c>
      <c r="C105" s="38" t="s">
        <v>46</v>
      </c>
      <c r="D105" s="42">
        <f>TRUNC(5835,-1)</f>
        <v>5830</v>
      </c>
      <c r="E105" s="63">
        <f t="shared" si="3"/>
        <v>19270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TRUNC(3084,-1)</f>
        <v>3080</v>
      </c>
      <c r="E114" s="63">
        <f t="shared" si="3"/>
        <v>10180</v>
      </c>
      <c r="F114" s="2" t="s">
        <v>262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TRUNC(4367,-1)</f>
        <v>4360</v>
      </c>
      <c r="E116" s="63">
        <f t="shared" si="3"/>
        <v>14410</v>
      </c>
      <c r="F116" s="2" t="s">
        <v>252</v>
      </c>
    </row>
    <row r="117" spans="1:7" x14ac:dyDescent="0.3">
      <c r="A117" s="2">
        <v>20</v>
      </c>
      <c r="C117" s="38" t="s">
        <v>148</v>
      </c>
      <c r="D117" s="42">
        <f>TRUNC(126095,-1)</f>
        <v>126090</v>
      </c>
      <c r="E117" s="63">
        <f t="shared" si="3"/>
        <v>416820</v>
      </c>
    </row>
    <row r="118" spans="1:7" ht="17.25" thickBot="1" x14ac:dyDescent="0.35">
      <c r="A118" s="2">
        <v>21</v>
      </c>
      <c r="C118" s="38" t="s">
        <v>47</v>
      </c>
      <c r="D118" s="43">
        <f>TRUNC(2351+3848,-1)</f>
        <v>6190</v>
      </c>
      <c r="E118" s="64">
        <f t="shared" si="3"/>
        <v>20460</v>
      </c>
      <c r="F118" s="2" t="s">
        <v>263</v>
      </c>
    </row>
    <row r="119" spans="1:7" x14ac:dyDescent="0.3">
      <c r="A119" s="2">
        <v>22</v>
      </c>
      <c r="C119" s="27" t="s">
        <v>112</v>
      </c>
      <c r="D119" s="39">
        <f>SUM(D98:D118)</f>
        <v>222910</v>
      </c>
      <c r="E119" s="39">
        <f>SUM(E98:E118)</f>
        <v>736840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TRUNC(4507,-1)</f>
        <v>4500</v>
      </c>
      <c r="E122" s="62">
        <f t="shared" ref="E122:E132" si="4">TRUNC(+D122*3.3058,-1)</f>
        <v>14870</v>
      </c>
      <c r="F122" s="2" t="s">
        <v>253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TRUNC(2013,-1)</f>
        <v>2010</v>
      </c>
      <c r="E124" s="63">
        <f t="shared" si="4"/>
        <v>6640</v>
      </c>
    </row>
    <row r="125" spans="1:7" x14ac:dyDescent="0.3">
      <c r="A125" s="2">
        <v>4</v>
      </c>
      <c r="C125" s="38" t="s">
        <v>138</v>
      </c>
      <c r="D125" s="42">
        <f>TRUNC(4625,-1)</f>
        <v>4620</v>
      </c>
      <c r="E125" s="63">
        <f t="shared" si="4"/>
        <v>15270</v>
      </c>
    </row>
    <row r="126" spans="1:7" x14ac:dyDescent="0.3">
      <c r="A126" s="2">
        <v>5</v>
      </c>
      <c r="C126" s="38" t="s">
        <v>53</v>
      </c>
      <c r="D126" s="42">
        <f>TRUNC(13747,-1)</f>
        <v>13740</v>
      </c>
      <c r="E126" s="63">
        <f t="shared" si="4"/>
        <v>45420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TRUNC(1806,-1)</f>
        <v>1800</v>
      </c>
      <c r="E128" s="63">
        <f t="shared" si="4"/>
        <v>5950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f>TRUNC(58339,-1)</f>
        <v>58330</v>
      </c>
      <c r="E131" s="63">
        <f t="shared" si="4"/>
        <v>192820</v>
      </c>
    </row>
    <row r="132" spans="1:7" ht="18" thickBot="1" x14ac:dyDescent="0.35">
      <c r="A132" s="2">
        <v>11</v>
      </c>
      <c r="C132" s="38" t="s">
        <v>47</v>
      </c>
      <c r="D132" s="43">
        <f>TRUNC(2589+3094,-1)</f>
        <v>5680</v>
      </c>
      <c r="E132" s="64">
        <f t="shared" si="4"/>
        <v>18770</v>
      </c>
      <c r="F132" s="54" t="s">
        <v>254</v>
      </c>
    </row>
    <row r="133" spans="1:7" x14ac:dyDescent="0.3">
      <c r="A133" s="2">
        <v>12</v>
      </c>
      <c r="C133" s="27" t="s">
        <v>112</v>
      </c>
      <c r="D133" s="39">
        <f>SUM(D122:D132)</f>
        <v>90680</v>
      </c>
      <c r="E133" s="39">
        <f>SUM(E122:E132)</f>
        <v>299740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TRUNC(743+939+3670,-1)</f>
        <v>5350</v>
      </c>
      <c r="E137" s="63">
        <f t="shared" si="5"/>
        <v>17680</v>
      </c>
      <c r="F137" s="2" t="s">
        <v>264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TRUNC(1132,-1)</f>
        <v>1130</v>
      </c>
      <c r="E140" s="63">
        <f t="shared" si="5"/>
        <v>3730</v>
      </c>
    </row>
    <row r="141" spans="1:7" x14ac:dyDescent="0.3">
      <c r="A141" s="2">
        <v>6</v>
      </c>
      <c r="C141" s="38" t="s">
        <v>59</v>
      </c>
      <c r="D141" s="42">
        <f>TRUNC(21616,-1)</f>
        <v>21610</v>
      </c>
      <c r="E141" s="63">
        <f t="shared" si="5"/>
        <v>71430</v>
      </c>
    </row>
    <row r="142" spans="1:7" x14ac:dyDescent="0.3">
      <c r="A142" s="2">
        <v>7</v>
      </c>
      <c r="C142" s="38" t="s">
        <v>58</v>
      </c>
      <c r="D142" s="42">
        <f>TRUNC(6946,-1)</f>
        <v>6940</v>
      </c>
      <c r="E142" s="63">
        <f t="shared" si="5"/>
        <v>22940</v>
      </c>
    </row>
    <row r="143" spans="1:7" x14ac:dyDescent="0.3">
      <c r="A143" s="2">
        <v>8</v>
      </c>
      <c r="C143" s="38" t="s">
        <v>62</v>
      </c>
      <c r="D143" s="42">
        <f>TRUNC(2715,-1)</f>
        <v>2710</v>
      </c>
      <c r="E143" s="63">
        <f t="shared" si="5"/>
        <v>8950</v>
      </c>
    </row>
    <row r="144" spans="1:7" x14ac:dyDescent="0.3">
      <c r="A144" s="2">
        <v>9</v>
      </c>
      <c r="C144" s="38" t="s">
        <v>63</v>
      </c>
      <c r="D144" s="42">
        <f>TRUNC(16248,-1)</f>
        <v>16240</v>
      </c>
      <c r="E144" s="63">
        <f t="shared" si="5"/>
        <v>53680</v>
      </c>
    </row>
    <row r="145" spans="1:7" ht="17.25" thickBot="1" x14ac:dyDescent="0.35">
      <c r="A145" s="2">
        <v>10</v>
      </c>
      <c r="C145" s="38" t="s">
        <v>148</v>
      </c>
      <c r="D145" s="43">
        <f>TRUNC(8531,-1)</f>
        <v>8530</v>
      </c>
      <c r="E145" s="64">
        <f t="shared" si="5"/>
        <v>28190</v>
      </c>
    </row>
    <row r="146" spans="1:7" x14ac:dyDescent="0.3">
      <c r="A146" s="2">
        <v>11</v>
      </c>
      <c r="C146" s="27" t="s">
        <v>112</v>
      </c>
      <c r="D146" s="39">
        <f>SUM(D136:D145)</f>
        <v>62510</v>
      </c>
      <c r="E146" s="39">
        <f>SUM(E136:E145)</f>
        <v>206600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TRUNC(6306+1067,-1)</f>
        <v>7370</v>
      </c>
      <c r="E149" s="62">
        <f>TRUNC(+D149*3.3058,-1)</f>
        <v>24360</v>
      </c>
    </row>
    <row r="150" spans="1:7" x14ac:dyDescent="0.3">
      <c r="A150" s="2">
        <v>2</v>
      </c>
      <c r="C150" s="38" t="s">
        <v>49</v>
      </c>
      <c r="D150" s="42">
        <f>TRUNC(1017,-1)</f>
        <v>1010</v>
      </c>
      <c r="E150" s="63">
        <f>TRUNC(+D150*3.3058,-1)</f>
        <v>3330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TRUNC(335+3741+15,-1)</f>
        <v>4090</v>
      </c>
      <c r="E152" s="63">
        <f>TRUNC(+D152*3.3058,-1)</f>
        <v>13520</v>
      </c>
      <c r="F152" s="2" t="s">
        <v>265</v>
      </c>
    </row>
    <row r="153" spans="1:7" ht="17.25" thickBot="1" x14ac:dyDescent="0.35">
      <c r="A153" s="2">
        <v>5</v>
      </c>
      <c r="C153" s="38" t="s">
        <v>148</v>
      </c>
      <c r="D153" s="43">
        <f>TRUNC(23428,-1)</f>
        <v>23420</v>
      </c>
      <c r="E153" s="64">
        <f>TRUNC(+D153*3.3058,-1)</f>
        <v>77420</v>
      </c>
    </row>
    <row r="154" spans="1:7" x14ac:dyDescent="0.3">
      <c r="A154" s="2">
        <v>6</v>
      </c>
      <c r="C154" s="27" t="s">
        <v>112</v>
      </c>
      <c r="D154" s="39">
        <f>SUM(D149:D153)</f>
        <v>35890</v>
      </c>
      <c r="E154" s="39">
        <f>SUM(E149:E153)</f>
        <v>118630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TRUNC(20463,-1)</f>
        <v>20460</v>
      </c>
      <c r="E157" s="62">
        <f>TRUNC(+D157*3.3058,-1)</f>
        <v>67630</v>
      </c>
    </row>
    <row r="158" spans="1:7" x14ac:dyDescent="0.3">
      <c r="A158" s="2">
        <v>2</v>
      </c>
      <c r="C158" s="38" t="s">
        <v>52</v>
      </c>
      <c r="D158" s="42">
        <v>25520</v>
      </c>
      <c r="E158" s="63">
        <f>TRUNC(+D158*3.3058,-1)</f>
        <v>84360</v>
      </c>
    </row>
    <row r="159" spans="1:7" x14ac:dyDescent="0.3">
      <c r="A159" s="2">
        <v>3</v>
      </c>
      <c r="C159" s="38" t="s">
        <v>47</v>
      </c>
      <c r="D159" s="42">
        <v>48370</v>
      </c>
      <c r="E159" s="63">
        <f>TRUNC(+D159*3.3058,-1)</f>
        <v>159900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94350</v>
      </c>
      <c r="E161" s="39">
        <f>SUM(E157:E160)</f>
        <v>311890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2020-12-07T10:11:17Z</dcterms:modified>
</cp:coreProperties>
</file>