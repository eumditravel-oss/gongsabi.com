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2" i="4"/>
  <c r="D151" i="4"/>
  <c r="D150" i="4"/>
  <c r="D149" i="4"/>
  <c r="D142" i="4"/>
  <c r="D141" i="4"/>
  <c r="D140" i="4"/>
  <c r="D137" i="4"/>
  <c r="D132" i="4"/>
  <c r="D131" i="4"/>
  <c r="D130" i="4"/>
  <c r="D128" i="4"/>
  <c r="D125" i="4"/>
  <c r="D122" i="4"/>
  <c r="D116" i="4"/>
  <c r="D105" i="4"/>
  <c r="D104" i="4"/>
  <c r="D103" i="4"/>
  <c r="D102" i="4"/>
  <c r="D100" i="4"/>
  <c r="D99" i="4"/>
  <c r="D98" i="4"/>
  <c r="D92" i="4"/>
  <c r="D91" i="4"/>
  <c r="D89" i="4"/>
  <c r="D73" i="4"/>
  <c r="D72" i="4"/>
  <c r="D69" i="4"/>
  <c r="D63" i="4"/>
  <c r="D59" i="4"/>
  <c r="D58" i="4"/>
  <c r="D53" i="4"/>
  <c r="D52" i="4"/>
  <c r="D50" i="4"/>
  <c r="D49" i="4"/>
  <c r="D46" i="4"/>
  <c r="D45" i="4"/>
  <c r="D44" i="4"/>
  <c r="D43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<sst xmlns="http://schemas.openxmlformats.org/spreadsheetml/2006/main" count="391" uniqueCount="265">
  <si>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</si>
  <si>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</si>
  <si>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</si>
  <si>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</si>
  <si>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</si>
  <si>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</si>
  <si>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</si>
  <si>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</si>
  <si>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</si>
  <si>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</si>
  <si>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</si>
  <si>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</si>
  <si>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</si>
  <si>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</si>
  <si>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</si>
  <si>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</si>
  <si>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</si>
  <si>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</si>
  <si>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</si>
  <si>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</si>
  <si>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</si>
  <si>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</si>
  <si>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</si>
  <si>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</si>
  <si>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</si>
  <si>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</si>
  <si>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</si>
  <si>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</si>
  <si>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</si>
  <si>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</si>
  <si>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</si>
  <si>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</si>
  <si>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</si>
  <si>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</si>
  <si>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</si>
  <si>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</si>
  <si>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</si>
  <si>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</si>
  <si>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</si>
  <si>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</si>
  <si>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</si>
  <si>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</si>
  <si>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</si>
  <si>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</si>
  <si>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</si>
  <si>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</si>
  <si>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</si>
  <si>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</si>
  <si>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</si>
  <si>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</si>
  <si>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</si>
  <si>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</si>
  <si>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</si>
  <si>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</si>
  <si>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</si>
  <si>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</si>
  <si>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</si>
  <si>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</si>
  <si>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</si>
  <si>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</si>
  <si>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</si>
  <si>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</si>
  <si>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</si>
  <si>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</si>
  <si>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</si>
  <si>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</si>
  <si>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</si>
  <si>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</si>
  <si>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</si>
  <si>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</si>
  <si>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</si>
  <si>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</si>
  <si>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</si>
  <si>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</si>
  <si>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</si>
  <si>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</si>
  <si>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</si>
  <si>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</si>
  <si>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</si>
  <si>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</si>
  <si>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</si>
  <si>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</si>
  <si>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</si>
  <si>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</si>
  <si>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</si>
  <si>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</si>
  <si>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</si>
  <si>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</si>
  <si>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</si>
  <si>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</si>
  <si>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</si>
  <si>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</si>
  <si>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</si>
  <si>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</si>
  <si>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</si>
  <si>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</si>
  <si>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</si>
  <si>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</si>
  <si>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</si>
  <si>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</si>
  <si>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</si>
  <si>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</si>
  <si>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</si>
  <si>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</si>
  <si>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</si>
  <si>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</si>
  <si>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</si>
  <si>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</si>
  <si>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</si>
  <si>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</si>
  <si>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</si>
  <si>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</si>
  <si>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</si>
  <si>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</si>
  <si>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</si>
  <si>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</si>
  <si>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</si>
  <si>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</si>
  <si>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</si>
  <si>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</si>
  <si>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</si>
  <si>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</si>
  <si>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</si>
  <si>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</si>
  <si>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</si>
  <si>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</si>
  <si>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</si>
  <si>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</si>
  <si>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</si>
  <si>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</si>
  <si>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</si>
  <si>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</si>
  <si>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</si>
  <si>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</si>
  <si>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</si>
  <si>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</si>
  <si>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</si>
  <si>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</si>
  <si>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</si>
  <si>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</si>
  <si>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</si>
  <si>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</si>
  <si>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</si>
  <si>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</si>
  <si>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</si>
  <si>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</si>
  <si>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</si>
  <si>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</si>
  <si>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</si>
  <si>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</si>
  <si>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</si>
  <si>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</si>
  <si>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</si>
  <si>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</si>
  <si>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</si>
  <si>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</si>
  <si>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</si>
  <si>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</si>
  <si>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</si>
  <si>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</si>
  <si>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</si>
  <si>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</si>
  <si>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</si>
  <si>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</si>
  <si>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</si>
  <si>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</si>
  <si>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</si>
  <si>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</si>
  <si>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</si>
  <si>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</si>
  <si>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</si>
  <si>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</si>
  <si>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</si>
  <si>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</si>
  <si>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</si>
  <si>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</si>
  <si>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</si>
  <si>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</si>
  <si>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</si>
  <si>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</si>
  <si>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</si>
  <si>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</si>
  <si>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</si>
  <si>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</si>
  <si>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</si>
  <si>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</si>
  <si>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</si>
  <si>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</si>
  <si>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</si>
  <si>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</si>
  <si>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</si>
  <si>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</si>
  <si>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</si>
  <si>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</si>
  <si>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</si>
  <si>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</si>
  <si>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</si>
  <si>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</si>
  <si>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</si>
  <si>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</si>
  <si>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</si>
  <si>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</si>
  <si>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</si>
  <si>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</si>
  <si>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</si>
  <si>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</si>
  <si>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</si>
  <si>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</si>
  <si>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</si>
  <si>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</si>
  <si>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</si>
  <si>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</si>
  <si>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</si>
  <si>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</si>
  <si>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</si>
  <si>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</si>
  <si>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</si>
  <si>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</si>
  <si>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</si>
  <si>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</si>
  <si>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</si>
  <si>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</si>
  <si>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</si>
  <si>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</si>
  <si>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</si>
  <si>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</si>
  <si>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</si>
  <si>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</si>
  <si>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</si>
  <si>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</si>
  <si>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</si>
  <si>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</si>
  <si>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</si>
  <si>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</si>
  <si>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</si>
  <si>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</si>
  <si>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</si>
  <si>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</si>
  <si>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</si>
  <si>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</si>
  <si>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</si>
  <si>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</si>
  <si>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</si>
  <si>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</si>
  <si>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</si>
  <si>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</si>
  <si>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</si>
  <si>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</si>
  <si>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</si>
  <si>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</si>
  <si>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</si>
  <si>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</si>
  <si>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</si>
  <si>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</si>
  <si>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</si>
  <si>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</si>
  <si>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업무</t>
  </si>
  <si>
    <t>한국산업인력공단 울산지사 상설검정장 겸 청사 신축공사</t>
    <phoneticPr fontId="2" type="noConversion"/>
  </si>
  <si>
    <t>울산시</t>
  </si>
  <si>
    <t>골재비및운반비, 기타공사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</si>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</sst>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3545.6</v>
      </c>
      <c r="D7" s="36">
        <f>+C7/3.3058</f>
        <v>1072.5391735737189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823740</v>
      </c>
      <c r="E25" s="59">
        <f t="shared" si="0"/>
        <v>2723110</v>
      </c>
    </row>
    <row r="26" spans="1:5" x14ac:dyDescent="0.3">
      <c r="B26" s="2">
        <v>3</v>
      </c>
      <c r="C26" s="35" t="s">
        <v>95</v>
      </c>
      <c r="D26" s="45">
        <f>+D66</f>
        <v>29680</v>
      </c>
      <c r="E26" s="59">
        <f t="shared" si="0"/>
        <v>98110</v>
      </c>
    </row>
    <row r="27" spans="1:5" x14ac:dyDescent="0.3">
      <c r="B27" s="2">
        <v>4</v>
      </c>
      <c r="C27" s="35" t="s">
        <v>96</v>
      </c>
      <c r="D27" s="45">
        <f>+D95</f>
        <v>41300</v>
      </c>
      <c r="E27" s="59">
        <f t="shared" si="0"/>
        <v>136520</v>
      </c>
    </row>
    <row r="28" spans="1:5" x14ac:dyDescent="0.3">
      <c r="B28" s="2">
        <v>5</v>
      </c>
      <c r="C28" s="35" t="s">
        <v>97</v>
      </c>
      <c r="D28" s="45">
        <f>+D119</f>
        <v>135610</v>
      </c>
      <c r="E28" s="59">
        <f t="shared" si="0"/>
        <v>448290</v>
      </c>
    </row>
    <row r="29" spans="1:5" x14ac:dyDescent="0.3">
      <c r="B29" s="2">
        <v>6</v>
      </c>
      <c r="C29" s="35" t="s">
        <v>98</v>
      </c>
      <c r="D29" s="45">
        <f>+D133</f>
        <v>69080</v>
      </c>
      <c r="E29" s="59">
        <f t="shared" si="0"/>
        <v>228360</v>
      </c>
    </row>
    <row r="30" spans="1:5" x14ac:dyDescent="0.3">
      <c r="B30" s="2">
        <v>7</v>
      </c>
      <c r="C30" s="35" t="s">
        <v>99</v>
      </c>
      <c r="D30" s="45">
        <f>+D146</f>
        <v>40380</v>
      </c>
      <c r="E30" s="59">
        <f t="shared" si="0"/>
        <v>133480</v>
      </c>
    </row>
    <row r="31" spans="1:5" x14ac:dyDescent="0.3">
      <c r="B31" s="2">
        <v>8</v>
      </c>
      <c r="C31" s="35" t="s">
        <v>100</v>
      </c>
      <c r="D31" s="45">
        <f>+D154</f>
        <v>23370</v>
      </c>
      <c r="E31" s="59">
        <f t="shared" si="0"/>
        <v>77250</v>
      </c>
    </row>
    <row r="32" spans="1:5" x14ac:dyDescent="0.3">
      <c r="B32" s="2">
        <v>9</v>
      </c>
      <c r="C32" s="35" t="s">
        <v>101</v>
      </c>
      <c r="D32" s="45">
        <f>+D161</f>
        <v>21200</v>
      </c>
      <c r="E32" s="59">
        <f t="shared" si="0"/>
        <v>70080</v>
      </c>
    </row>
    <row r="33" spans="1:7" x14ac:dyDescent="0.3">
      <c r="B33" s="2">
        <v>10</v>
      </c>
      <c r="C33" s="35" t="s">
        <v>155</v>
      </c>
      <c r="D33" s="53">
        <f>TRUNC(SUM(D24:D32)*0.275,-1)</f>
        <v>325690</v>
      </c>
      <c r="E33" s="60">
        <f t="shared" si="0"/>
        <v>1076660</v>
      </c>
    </row>
    <row r="34" spans="1:7" x14ac:dyDescent="0.3">
      <c r="C34" s="35" t="s">
        <v>112</v>
      </c>
      <c r="D34" s="44">
        <f>SUM(D24:D33)</f>
        <v>1510050</v>
      </c>
      <c r="E34" s="44">
        <f>SUM(E24:E33)</f>
        <v>4991860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TRUNC(37656,-1)</f>
        <v>37650</v>
      </c>
      <c r="E40" s="62">
        <f t="shared" ref="E40:E59" si="1">TRUNC(+D40*3.3058,-1)</f>
        <v>124460</v>
      </c>
    </row>
    <row r="41" spans="1:7" x14ac:dyDescent="0.3">
      <c r="A41" s="2">
        <v>2</v>
      </c>
      <c r="C41" s="38" t="s">
        <v>13</v>
      </c>
      <c r="D41" s="42">
        <v>172460</v>
      </c>
      <c r="E41" s="63">
        <f t="shared" si="1"/>
        <v>570110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TRUNC(6322,-1)</f>
        <v>6320</v>
      </c>
      <c r="E43" s="63">
        <f t="shared" si="1"/>
        <v>20890</v>
      </c>
    </row>
    <row r="44" spans="1:7" x14ac:dyDescent="0.3">
      <c r="A44" s="2">
        <v>5</v>
      </c>
      <c r="C44" s="38" t="s">
        <v>17</v>
      </c>
      <c r="D44" s="42">
        <f>TRUNC(46042,-1)</f>
        <v>46040</v>
      </c>
      <c r="E44" s="63">
        <f t="shared" si="1"/>
        <v>152190</v>
      </c>
    </row>
    <row r="45" spans="1:7" x14ac:dyDescent="0.3">
      <c r="A45" s="2">
        <v>6</v>
      </c>
      <c r="C45" s="38" t="s">
        <v>18</v>
      </c>
      <c r="D45" s="42">
        <f>TRUNC(7608,-1)</f>
        <v>7600</v>
      </c>
      <c r="E45" s="63">
        <f t="shared" si="1"/>
        <v>25120</v>
      </c>
    </row>
    <row r="46" spans="1:7" x14ac:dyDescent="0.3">
      <c r="A46" s="2">
        <v>7</v>
      </c>
      <c r="C46" s="38" t="s">
        <v>19</v>
      </c>
      <c r="D46" s="42">
        <f>TRUNC(29123,-1)</f>
        <v>29120</v>
      </c>
      <c r="E46" s="63">
        <f t="shared" si="1"/>
        <v>96260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20550</v>
      </c>
      <c r="E48" s="63">
        <f t="shared" si="1"/>
        <v>67930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TRUNC(18285,-1)</f>
        <v>18280</v>
      </c>
      <c r="E49" s="63">
        <f t="shared" si="1"/>
        <v>60430</v>
      </c>
    </row>
    <row r="50" spans="1:7" x14ac:dyDescent="0.3">
      <c r="A50" s="2">
        <v>11</v>
      </c>
      <c r="C50" s="38" t="s">
        <v>156</v>
      </c>
      <c r="D50" s="42">
        <f>TRUNC(25655,-1)</f>
        <v>25650</v>
      </c>
      <c r="E50" s="63">
        <f t="shared" si="1"/>
        <v>84790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TRUNC(22113,-1)</f>
        <v>22110</v>
      </c>
      <c r="E52" s="63">
        <f t="shared" si="1"/>
        <v>73090</v>
      </c>
    </row>
    <row r="53" spans="1:7" x14ac:dyDescent="0.3">
      <c r="A53" s="2">
        <v>14</v>
      </c>
      <c r="C53" s="38" t="s">
        <v>25</v>
      </c>
      <c r="D53" s="42">
        <f>TRUNC(37015,-1)</f>
        <v>37010</v>
      </c>
      <c r="E53" s="63">
        <f t="shared" si="1"/>
        <v>122340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TRUNC(4847+1094,-1)</f>
        <v>5940</v>
      </c>
      <c r="E58" s="63">
        <f t="shared" si="1"/>
        <v>19630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TRUNC(395019,-1)</f>
        <v>395010</v>
      </c>
      <c r="E59" s="64">
        <f t="shared" si="1"/>
        <v>1305820</v>
      </c>
    </row>
    <row r="60" spans="1:7" x14ac:dyDescent="0.3">
      <c r="A60" s="2">
        <v>21</v>
      </c>
      <c r="C60" s="27" t="s">
        <v>112</v>
      </c>
      <c r="D60" s="39">
        <f>SUM(D40:D59)</f>
        <v>823740</v>
      </c>
      <c r="E60" s="39">
        <f>SUM(E40:E59)</f>
        <v>2723060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TRUNC(29684,-1)</f>
        <v>29680</v>
      </c>
      <c r="E63" s="62">
        <f>TRUNC(+D63*3.3058,-1)</f>
        <v>98110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29680</v>
      </c>
      <c r="E66" s="65">
        <f>SUM(E63:E65)</f>
        <v>98110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TRUNC(3597,-1)</f>
        <v>3590</v>
      </c>
      <c r="E69" s="62">
        <f t="shared" ref="E69:E94" si="2">TRUNC(+D69*3.3058,-1)</f>
        <v>11860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TRUNC(4471,-1)</f>
        <v>4470</v>
      </c>
      <c r="E72" s="63">
        <f t="shared" si="2"/>
        <v>14770</v>
      </c>
    </row>
    <row r="73" spans="1:7" x14ac:dyDescent="0.3">
      <c r="A73" s="2">
        <v>5</v>
      </c>
      <c r="C73" s="38" t="s">
        <v>34</v>
      </c>
      <c r="D73" s="42">
        <f>TRUNC(12726,-1)</f>
        <v>12720</v>
      </c>
      <c r="E73" s="63">
        <f t="shared" si="2"/>
        <v>42040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TRUNC(7765,-1)</f>
        <v>7760</v>
      </c>
      <c r="E89" s="63">
        <f t="shared" si="2"/>
        <v>25650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TRUNC(8434,-1)</f>
        <v>8430</v>
      </c>
      <c r="E91" s="63">
        <f t="shared" si="2"/>
        <v>27860</v>
      </c>
    </row>
    <row r="92" spans="1:7" x14ac:dyDescent="0.3">
      <c r="A92" s="2">
        <v>24</v>
      </c>
      <c r="C92" s="38" t="s">
        <v>38</v>
      </c>
      <c r="D92" s="42">
        <f>TRUNC(4334,-1)</f>
        <v>4330</v>
      </c>
      <c r="E92" s="63">
        <f t="shared" si="2"/>
        <v>14310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41300</v>
      </c>
      <c r="E95" s="39">
        <f>SUM(E69:E94)</f>
        <v>136490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TRUNC(7891,-1)</f>
        <v>7890</v>
      </c>
      <c r="E98" s="62">
        <f t="shared" ref="E98:E118" si="3">TRUNC(+D98*3.3058,-1)</f>
        <v>26080</v>
      </c>
    </row>
    <row r="99" spans="1:7" x14ac:dyDescent="0.3">
      <c r="A99" s="2">
        <v>2</v>
      </c>
      <c r="C99" s="38" t="s">
        <v>40</v>
      </c>
      <c r="D99" s="42">
        <f>TRUNC(1261,-1)</f>
        <v>1260</v>
      </c>
      <c r="E99" s="63">
        <f t="shared" si="3"/>
        <v>4160</v>
      </c>
    </row>
    <row r="100" spans="1:7" x14ac:dyDescent="0.3">
      <c r="A100" s="2">
        <v>3</v>
      </c>
      <c r="C100" s="38" t="s">
        <v>41</v>
      </c>
      <c r="D100" s="42">
        <f>TRUNC(17807,-1)</f>
        <v>17800</v>
      </c>
      <c r="E100" s="63">
        <f t="shared" si="3"/>
        <v>58840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TRUNC(7613,-1)</f>
        <v>7610</v>
      </c>
      <c r="E102" s="63">
        <f t="shared" si="3"/>
        <v>25150</v>
      </c>
    </row>
    <row r="103" spans="1:7" x14ac:dyDescent="0.3">
      <c r="A103" s="2">
        <v>6</v>
      </c>
      <c r="C103" s="38" t="s">
        <v>44</v>
      </c>
      <c r="D103" s="42">
        <f>TRUNC(2195,-1)</f>
        <v>2190</v>
      </c>
      <c r="E103" s="63">
        <f t="shared" si="3"/>
        <v>7230</v>
      </c>
    </row>
    <row r="104" spans="1:7" x14ac:dyDescent="0.3">
      <c r="A104" s="2">
        <v>7</v>
      </c>
      <c r="C104" s="38" t="s">
        <v>45</v>
      </c>
      <c r="D104" s="42">
        <f>TRUNC(3572,-1)</f>
        <v>3570</v>
      </c>
      <c r="E104" s="63">
        <f t="shared" si="3"/>
        <v>11800</v>
      </c>
    </row>
    <row r="105" spans="1:7" x14ac:dyDescent="0.3">
      <c r="A105" s="2">
        <v>8</v>
      </c>
      <c r="C105" s="38" t="s">
        <v>46</v>
      </c>
      <c r="D105" s="42">
        <f>TRUNC(1482,-1)</f>
        <v>1480</v>
      </c>
      <c r="E105" s="63">
        <f t="shared" si="3"/>
        <v>4890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TRUNC(30371,-1)</f>
        <v>30370</v>
      </c>
      <c r="E116" s="63">
        <f t="shared" si="3"/>
        <v>100390</v>
      </c>
      <c r="F116" s="2" t="s">
        <v>252</v>
      </c>
    </row>
    <row r="117" spans="1:7" x14ac:dyDescent="0.3">
      <c r="A117" s="2">
        <v>20</v>
      </c>
      <c r="C117" s="38" t="s">
        <v>149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63440</v>
      </c>
      <c r="E118" s="64">
        <f t="shared" si="3"/>
        <v>209710</v>
      </c>
    </row>
    <row r="119" spans="1:7" x14ac:dyDescent="0.3">
      <c r="A119" s="2">
        <v>22</v>
      </c>
      <c r="C119" s="27" t="s">
        <v>112</v>
      </c>
      <c r="D119" s="39">
        <f>SUM(D98:D118)</f>
        <v>135610</v>
      </c>
      <c r="E119" s="39">
        <f>SUM(E98:E118)</f>
        <v>448250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TRUNC(1643,-1)</f>
        <v>1640</v>
      </c>
      <c r="E122" s="62">
        <f t="shared" ref="E122:E132" si="4">TRUNC(+D122*3.3058,-1)</f>
        <v>5420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TRUNC(5566,-1)</f>
        <v>5560</v>
      </c>
      <c r="E125" s="63">
        <f t="shared" si="4"/>
        <v>18380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TRUNC(1287,-1)</f>
        <v>1280</v>
      </c>
      <c r="E128" s="63">
        <f t="shared" si="4"/>
        <v>4230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TRUNC(12547,-1)</f>
        <v>12540</v>
      </c>
      <c r="E130" s="63">
        <f t="shared" si="4"/>
        <v>41450</v>
      </c>
    </row>
    <row r="131" spans="1:7" x14ac:dyDescent="0.3">
      <c r="A131" s="2">
        <v>10</v>
      </c>
      <c r="C131" s="38" t="s">
        <v>149</v>
      </c>
      <c r="D131" s="42">
        <f>TRUNC(43375,-1)</f>
        <v>43370</v>
      </c>
      <c r="E131" s="63">
        <f t="shared" si="4"/>
        <v>143370</v>
      </c>
    </row>
    <row r="132" spans="1:7" ht="18" thickBot="1" x14ac:dyDescent="0.35">
      <c r="A132" s="2">
        <v>11</v>
      </c>
      <c r="C132" s="38" t="s">
        <v>47</v>
      </c>
      <c r="D132" s="43">
        <f>TRUNC(4694,-1)</f>
        <v>4690</v>
      </c>
      <c r="E132" s="64">
        <f t="shared" si="4"/>
        <v>15500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69080</v>
      </c>
      <c r="E133" s="39">
        <f>SUM(E122:E132)</f>
        <v>228350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TRUNC(5585+18384,-1)</f>
        <v>23960</v>
      </c>
      <c r="E137" s="63">
        <f t="shared" si="5"/>
        <v>79200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TRUNC(3403,-1)</f>
        <v>3400</v>
      </c>
      <c r="E140" s="63">
        <f t="shared" si="5"/>
        <v>11230</v>
      </c>
    </row>
    <row r="141" spans="1:7" x14ac:dyDescent="0.3">
      <c r="A141" s="2">
        <v>6</v>
      </c>
      <c r="C141" s="38" t="s">
        <v>59</v>
      </c>
      <c r="D141" s="42">
        <f>TRUNC(10275,-1)</f>
        <v>10270</v>
      </c>
      <c r="E141" s="63">
        <f t="shared" si="5"/>
        <v>33950</v>
      </c>
    </row>
    <row r="142" spans="1:7" x14ac:dyDescent="0.3">
      <c r="A142" s="2">
        <v>7</v>
      </c>
      <c r="C142" s="38" t="s">
        <v>58</v>
      </c>
      <c r="D142" s="42">
        <f>TRUNC(2752,-1)</f>
        <v>2750</v>
      </c>
      <c r="E142" s="63">
        <f t="shared" si="5"/>
        <v>9090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40380</v>
      </c>
      <c r="E146" s="39">
        <f>SUM(E136:E145)</f>
        <v>133470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TRUNC(3125+134,-1)</f>
        <v>3250</v>
      </c>
      <c r="E149" s="62">
        <f>TRUNC(+D149*3.3058,-1)</f>
        <v>10740</v>
      </c>
    </row>
    <row r="150" spans="1:7" x14ac:dyDescent="0.3">
      <c r="A150" s="2">
        <v>2</v>
      </c>
      <c r="C150" s="38" t="s">
        <v>49</v>
      </c>
      <c r="D150" s="42">
        <f>TRUNC(2877,-1)</f>
        <v>2870</v>
      </c>
      <c r="E150" s="63">
        <f>TRUNC(+D150*3.3058,-1)</f>
        <v>9480</v>
      </c>
    </row>
    <row r="151" spans="1:7" x14ac:dyDescent="0.3">
      <c r="A151" s="2">
        <v>3</v>
      </c>
      <c r="C151" s="38" t="s">
        <v>50</v>
      </c>
      <c r="D151" s="42">
        <f>TRUNC(685,-1)</f>
        <v>680</v>
      </c>
      <c r="E151" s="63">
        <f>TRUNC(+D151*3.3058,-1)</f>
        <v>2240</v>
      </c>
    </row>
    <row r="152" spans="1:7" x14ac:dyDescent="0.3">
      <c r="A152" s="2">
        <v>4</v>
      </c>
      <c r="C152" s="38" t="s">
        <v>47</v>
      </c>
      <c r="D152" s="42">
        <f>TRUNC(4580+125+11871,-1)</f>
        <v>16570</v>
      </c>
      <c r="E152" s="63">
        <f>TRUNC(+D152*3.3058,-1)</f>
        <v>54770</v>
      </c>
      <c r="F152" s="2" t="s">
        <v>254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23370</v>
      </c>
      <c r="E154" s="39">
        <f>SUM(E149:E153)</f>
        <v>77230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11670</v>
      </c>
      <c r="E157" s="62">
        <f>TRUNC(+D157*3.3058,-1)</f>
        <v>38570</v>
      </c>
    </row>
    <row r="158" spans="1:7" x14ac:dyDescent="0.3">
      <c r="A158" s="2">
        <v>2</v>
      </c>
      <c r="C158" s="38" t="s">
        <v>52</v>
      </c>
      <c r="D158" s="42">
        <v>2970</v>
      </c>
      <c r="E158" s="63">
        <f>TRUNC(+D158*3.3058,-1)</f>
        <v>9810</v>
      </c>
    </row>
    <row r="159" spans="1:7" x14ac:dyDescent="0.3">
      <c r="A159" s="2">
        <v>3</v>
      </c>
      <c r="C159" s="38" t="s">
        <v>47</v>
      </c>
      <c r="D159" s="42">
        <f>TRUNC(138+6423,-1)</f>
        <v>6560</v>
      </c>
      <c r="E159" s="63">
        <f>TRUNC(+D159*3.3058,-1)</f>
        <v>21680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21200</v>
      </c>
      <c r="E161" s="39">
        <f>SUM(E157:E160)</f>
        <v>70060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2020-12-08T01:19:47Z</dcterms:modified>
</cp:coreProperties>
</file>