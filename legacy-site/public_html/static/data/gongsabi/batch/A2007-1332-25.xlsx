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1" i="4" l="1"/>
  <c r="D94" i="4"/>
  <c r="D136" i="4" l="1"/>
  <c r="D152" i="4"/>
  <c r="D150" i="4"/>
  <c r="D149" i="4"/>
  <c r="D65" i="4"/>
  <c r="D63" i="4"/>
  <c r="D58" i="4"/>
  <c r="D59" i="4"/>
  <c r="D54" i="4"/>
  <c r="D53" i="4"/>
  <c r="D52" i="4"/>
  <c r="D51" i="4"/>
  <c r="D50" i="4"/>
  <c r="D49" i="4"/>
  <c r="D48" i="4"/>
  <c r="D55" i="4"/>
  <c r="D44" i="4"/>
  <c r="D47" i="4"/>
  <c r="D45" i="4"/>
  <c r="D46" i="4"/>
  <c r="D43" i="4"/>
  <c r="D41" i="4"/>
  <c r="D40" i="4"/>
  <c r="D37" i="4"/>
  <c r="D159" i="4"/>
  <c r="D158" i="4"/>
  <c r="D157" i="4"/>
  <c r="D93" i="4"/>
  <c r="D90" i="4"/>
  <c r="D75" i="4"/>
  <c r="D84" i="4"/>
  <c r="D72" i="4"/>
  <c r="D92" i="4"/>
  <c r="D78" i="4"/>
  <c r="D71" i="4"/>
  <c r="D70" i="4"/>
  <c r="D69" i="4"/>
  <c r="D144" i="4"/>
  <c r="D117" i="4"/>
  <c r="D118" i="4"/>
  <c r="D101" i="4"/>
  <c r="D104" i="4"/>
  <c r="D102" i="4"/>
  <c r="D100" i="4"/>
  <c r="D99" i="4"/>
  <c r="D98" i="4"/>
  <c r="D115" i="4"/>
  <c r="D132" i="4"/>
  <c r="D131" i="4"/>
  <c r="D124" i="4"/>
  <c r="D125" i="4"/>
  <c r="D122" i="4"/>
  <c r="D13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60" i="4"/>
  <c r="E95" i="4"/>
  <c r="E119" i="4"/>
  <c r="E133" i="4"/>
  <c r="D161" i="4"/>
  <c r="D154" i="4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<sst xmlns="http://schemas.openxmlformats.org/spreadsheetml/2006/main" count="395" uniqueCount="270">
  <si>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</si>
  <si>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</si>
  <si>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</si>
  <si>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</si>
  <si>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</si>
  <si>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</si>
  <si>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</si>
  <si>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</si>
  <si>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</si>
  <si>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</si>
  <si>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</si>
  <si>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</si>
  <si>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</si>
  <si>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</si>
  <si>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</si>
  <si>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</si>
  <si>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</si>
  <si>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</si>
  <si>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</si>
  <si>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</si>
  <si>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</si>
  <si>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</si>
  <si>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</si>
  <si>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</si>
  <si>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</si>
  <si>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</si>
  <si>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</si>
  <si>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</si>
  <si>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</si>
  <si>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</si>
  <si>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</si>
  <si>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</si>
  <si>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</si>
  <si>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</si>
  <si>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</si>
  <si>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</si>
  <si>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</si>
  <si>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</si>
  <si>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</si>
  <si>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</si>
  <si>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</si>
  <si>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</si>
  <si>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</si>
  <si>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</si>
  <si>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</si>
  <si>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</si>
  <si>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</si>
  <si>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</si>
  <si>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</si>
  <si>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</si>
  <si>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</si>
  <si>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</si>
  <si>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</si>
  <si>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</si>
  <si>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</si>
  <si>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</si>
  <si>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</si>
  <si>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</si>
  <si>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</si>
  <si>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</si>
  <si>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</si>
  <si>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</si>
  <si>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</si>
  <si>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</si>
  <si>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</si>
  <si>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</si>
  <si>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</si>
  <si>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</si>
  <si>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</si>
  <si>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</si>
  <si>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</si>
  <si>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</si>
  <si>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</si>
  <si>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</si>
  <si>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</si>
  <si>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</si>
  <si>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</si>
  <si>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</si>
  <si>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</si>
  <si>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</si>
  <si>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</si>
  <si>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</si>
  <si>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</si>
  <si>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</si>
  <si>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</si>
  <si>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</si>
  <si>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</si>
  <si>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</si>
  <si>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</si>
  <si>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</si>
  <si>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</si>
  <si>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</si>
  <si>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</si>
  <si>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</si>
  <si>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</si>
  <si>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</si>
  <si>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</si>
  <si>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</si>
  <si>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</si>
  <si>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</si>
  <si>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</si>
  <si>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</si>
  <si>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</si>
  <si>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</si>
  <si>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</si>
  <si>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</si>
  <si>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</si>
  <si>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</si>
  <si>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</si>
  <si>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</si>
  <si>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</si>
  <si>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</si>
  <si>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</si>
  <si>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</si>
  <si>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</si>
  <si>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</si>
  <si>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</si>
  <si>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</si>
  <si>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</si>
  <si>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</si>
  <si>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</si>
  <si>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</si>
  <si>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</si>
  <si>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</si>
  <si>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</si>
  <si>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</si>
  <si>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</si>
  <si>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</si>
  <si>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</si>
  <si>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</si>
  <si>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</si>
  <si>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</si>
  <si>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</si>
  <si>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</si>
  <si>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</si>
  <si>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</si>
  <si>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</si>
  <si>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</si>
  <si>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</si>
  <si>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</si>
  <si>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</si>
  <si>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</si>
  <si>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</si>
  <si>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</si>
  <si>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</si>
  <si>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</si>
  <si>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</si>
  <si>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</si>
  <si>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</si>
  <si>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</si>
  <si>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</si>
  <si>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</si>
  <si>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</si>
  <si>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</si>
  <si>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</si>
  <si>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</si>
  <si>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</si>
  <si>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</si>
  <si>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</si>
  <si>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</si>
  <si>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</si>
  <si>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</si>
  <si>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</si>
  <si>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</si>
  <si>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</si>
  <si>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</si>
  <si>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</si>
  <si>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</si>
  <si>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</si>
  <si>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</si>
  <si>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</si>
  <si>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</si>
  <si>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</si>
  <si>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</si>
  <si>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</si>
  <si>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</si>
  <si>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</si>
  <si>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</si>
  <si>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</si>
  <si>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</si>
  <si>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</si>
  <si>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</si>
  <si>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</si>
  <si>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</si>
  <si>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</si>
  <si>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</si>
  <si>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</si>
  <si>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</si>
  <si>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</si>
  <si>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</si>
  <si>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</si>
  <si>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</si>
  <si>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</si>
  <si>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</si>
  <si>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</si>
  <si>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</si>
  <si>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</si>
  <si>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</si>
  <si>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</si>
  <si>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</si>
  <si>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</si>
  <si>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</si>
  <si>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</si>
  <si>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</si>
  <si>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</si>
  <si>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</si>
  <si>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</si>
  <si>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</si>
  <si>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</si>
  <si>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</si>
  <si>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</si>
  <si>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</si>
  <si>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</si>
  <si>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</si>
  <si>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</si>
  <si>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</si>
  <si>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</si>
  <si>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</si>
  <si>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</si>
  <si>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</si>
  <si>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</si>
  <si>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</si>
  <si>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</si>
  <si>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</si>
  <si>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</si>
  <si>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</si>
  <si>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</si>
  <si>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</si>
  <si>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</si>
  <si>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</si>
  <si>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</si>
  <si>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</si>
  <si>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</si>
  <si>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</si>
  <si>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</si>
  <si>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</si>
  <si>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</si>
  <si>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</si>
  <si>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</si>
  <si>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</si>
  <si>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</si>
  <si>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</si>
  <si>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</si>
  <si>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</si>
  <si>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</si>
  <si>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</si>
  <si>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</si>
  <si>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</si>
  <si>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00우체국 건립공사</t>
  </si>
  <si>
    <t>업무</t>
  </si>
  <si>
    <t>경기도</t>
  </si>
  <si>
    <t>CATV설비공사</t>
  </si>
  <si>
    <t>대회의실 A/V설비공사</t>
  </si>
  <si>
    <t>CCTV 설비공사,가설창고공사</t>
    <phoneticPr fontId="2" type="noConversion"/>
  </si>
  <si>
    <t>주차관제설비공사,가설창고</t>
    <phoneticPr fontId="2" type="noConversion"/>
  </si>
  <si>
    <t>전기 자탐설비공사</t>
    <phoneticPr fontId="2" type="noConversion"/>
  </si>
  <si>
    <t>위생설비공사</t>
  </si>
  <si>
    <t>기계 소화설비공사</t>
    <phoneticPr fontId="2" type="noConversion"/>
  </si>
  <si>
    <t>방진설치공사</t>
  </si>
  <si>
    <t>식재공(공개공지),식재공(옥상)</t>
    <phoneticPr fontId="2" type="noConversion"/>
  </si>
  <si>
    <t>포장공,토공사,부대공사</t>
    <phoneticPr fontId="2" type="noConversion"/>
  </si>
  <si>
    <t>토및지정공사,기타공사,부대공사,골재비,운반비,작업부산뭏</t>
    <phoneticPr fontId="2" type="noConversion"/>
  </si>
  <si>
    <t>우수공사,오수공사</t>
  </si>
  <si>
    <t>버팀보공사,어스앵커공사,부대공,부지정공,사급자재,운반비</t>
    <phoneticPr fontId="2" type="noConversion"/>
  </si>
  <si>
    <t>HEAT TRACING 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</si>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</sst>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6778</v>
      </c>
      <c r="D7" s="36">
        <f>+C7/3.3058</f>
        <v>2050.3357734890192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4280</v>
      </c>
      <c r="E24" s="58">
        <f t="shared" ref="E24:E33" si="0">TRUNC(+D24*3.3058,-1)</f>
        <v>14140</v>
      </c>
    </row>
    <row r="25" spans="1:5" x14ac:dyDescent="0.3">
      <c r="B25" s="2">
        <v>2</v>
      </c>
      <c r="C25" s="35" t="s">
        <v>111</v>
      </c>
      <c r="D25" s="45">
        <f>+D60</f>
        <v>625630</v>
      </c>
      <c r="E25" s="59">
        <f t="shared" si="0"/>
        <v>2068200</v>
      </c>
    </row>
    <row r="26" spans="1:5" x14ac:dyDescent="0.3">
      <c r="B26" s="2">
        <v>3</v>
      </c>
      <c r="C26" s="35" t="s">
        <v>95</v>
      </c>
      <c r="D26" s="45">
        <f>+D66</f>
        <v>27010</v>
      </c>
      <c r="E26" s="59">
        <f t="shared" si="0"/>
        <v>89280</v>
      </c>
    </row>
    <row r="27" spans="1:5" x14ac:dyDescent="0.3">
      <c r="B27" s="2">
        <v>4</v>
      </c>
      <c r="C27" s="35" t="s">
        <v>96</v>
      </c>
      <c r="D27" s="45">
        <f>+D95</f>
        <v>151780</v>
      </c>
      <c r="E27" s="59">
        <f t="shared" si="0"/>
        <v>501750</v>
      </c>
    </row>
    <row r="28" spans="1:5" x14ac:dyDescent="0.3">
      <c r="B28" s="2">
        <v>5</v>
      </c>
      <c r="C28" s="35" t="s">
        <v>97</v>
      </c>
      <c r="D28" s="45">
        <f>+D119</f>
        <v>147370</v>
      </c>
      <c r="E28" s="59">
        <f t="shared" si="0"/>
        <v>487170</v>
      </c>
    </row>
    <row r="29" spans="1:5" x14ac:dyDescent="0.3">
      <c r="B29" s="2">
        <v>6</v>
      </c>
      <c r="C29" s="35" t="s">
        <v>98</v>
      </c>
      <c r="D29" s="45">
        <f>+D133</f>
        <v>46600</v>
      </c>
      <c r="E29" s="59">
        <f t="shared" si="0"/>
        <v>154050</v>
      </c>
    </row>
    <row r="30" spans="1:5" x14ac:dyDescent="0.3">
      <c r="B30" s="2">
        <v>7</v>
      </c>
      <c r="C30" s="35" t="s">
        <v>99</v>
      </c>
      <c r="D30" s="45">
        <f>+D146</f>
        <v>22490</v>
      </c>
      <c r="E30" s="59">
        <f t="shared" si="0"/>
        <v>74340</v>
      </c>
    </row>
    <row r="31" spans="1:5" x14ac:dyDescent="0.3">
      <c r="B31" s="2">
        <v>8</v>
      </c>
      <c r="C31" s="35" t="s">
        <v>100</v>
      </c>
      <c r="D31" s="45">
        <f>+D154</f>
        <v>32070</v>
      </c>
      <c r="E31" s="59">
        <f t="shared" si="0"/>
        <v>106010</v>
      </c>
    </row>
    <row r="32" spans="1:5" x14ac:dyDescent="0.3">
      <c r="B32" s="2">
        <v>9</v>
      </c>
      <c r="C32" s="35" t="s">
        <v>101</v>
      </c>
      <c r="D32" s="45">
        <f>+D161</f>
        <v>21870</v>
      </c>
      <c r="E32" s="59">
        <f t="shared" si="0"/>
        <v>72290</v>
      </c>
    </row>
    <row r="33" spans="1:7" x14ac:dyDescent="0.3">
      <c r="B33" s="2">
        <v>10</v>
      </c>
      <c r="C33" s="35" t="s">
        <v>154</v>
      </c>
      <c r="D33" s="53">
        <f>TRUNC(SUM(D24:D32)*0.275,-1)</f>
        <v>296750</v>
      </c>
      <c r="E33" s="60">
        <f t="shared" si="0"/>
        <v>980990</v>
      </c>
    </row>
    <row r="34" spans="1:7" x14ac:dyDescent="0.3">
      <c r="C34" s="35" t="s">
        <v>112</v>
      </c>
      <c r="D34" s="44">
        <f>SUM(D24:D33)</f>
        <v>1375850</v>
      </c>
      <c r="E34" s="44">
        <f>SUM(E24:E33)</f>
        <v>4548220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TRUNC(4282.22941870758,-1)</f>
        <v>4280</v>
      </c>
      <c r="E37" s="61">
        <f>TRUNC(+D37*3.3058,-1)</f>
        <v>14140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TRUNC(28084.0966361759,-1)</f>
        <v>28080</v>
      </c>
      <c r="E40" s="62">
        <f t="shared" ref="E40:E59" si="1">TRUNC(+D40*3.3058,-1)</f>
        <v>92820</v>
      </c>
    </row>
    <row r="41" spans="1:7" x14ac:dyDescent="0.3">
      <c r="A41" s="2">
        <v>2</v>
      </c>
      <c r="C41" s="38" t="s">
        <v>13</v>
      </c>
      <c r="D41" s="42">
        <f>TRUNC(103999.946296843,-1)</f>
        <v>103990</v>
      </c>
      <c r="E41" s="63">
        <f t="shared" si="1"/>
        <v>343770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TRUNC(7941.99159043966,-1)</f>
        <v>7940</v>
      </c>
      <c r="E43" s="63">
        <f t="shared" si="1"/>
        <v>26240</v>
      </c>
    </row>
    <row r="44" spans="1:7" x14ac:dyDescent="0.3">
      <c r="A44" s="2">
        <v>5</v>
      </c>
      <c r="C44" s="38" t="s">
        <v>17</v>
      </c>
      <c r="D44" s="42">
        <f>TRUNC(37401.2481557982,-1)</f>
        <v>37400</v>
      </c>
      <c r="E44" s="63">
        <f t="shared" si="1"/>
        <v>123630</v>
      </c>
    </row>
    <row r="45" spans="1:7" x14ac:dyDescent="0.3">
      <c r="A45" s="2">
        <v>6</v>
      </c>
      <c r="C45" s="38" t="s">
        <v>18</v>
      </c>
      <c r="D45" s="42">
        <f>TRUNC(4499.26231926822,-1)</f>
        <v>4490</v>
      </c>
      <c r="E45" s="63">
        <f t="shared" si="1"/>
        <v>14840</v>
      </c>
    </row>
    <row r="46" spans="1:7" x14ac:dyDescent="0.3">
      <c r="A46" s="2">
        <v>7</v>
      </c>
      <c r="C46" s="38" t="s">
        <v>19</v>
      </c>
      <c r="D46" s="42">
        <f>TRUNC(14160.6766007672,-1)</f>
        <v>14160</v>
      </c>
      <c r="E46" s="63">
        <f t="shared" si="1"/>
        <v>46810</v>
      </c>
    </row>
    <row r="47" spans="1:7" x14ac:dyDescent="0.3">
      <c r="A47" s="2">
        <v>8</v>
      </c>
      <c r="C47" s="38" t="s">
        <v>20</v>
      </c>
      <c r="D47" s="42">
        <f>TRUNC(657.385511950428,-1)</f>
        <v>650</v>
      </c>
      <c r="E47" s="63">
        <f t="shared" si="1"/>
        <v>2140</v>
      </c>
    </row>
    <row r="48" spans="1:7" x14ac:dyDescent="0.3">
      <c r="A48" s="2">
        <v>9</v>
      </c>
      <c r="C48" s="38" t="s">
        <v>21</v>
      </c>
      <c r="D48" s="42">
        <f>TRUNC(127665.425936855,-1)</f>
        <v>127660</v>
      </c>
      <c r="E48" s="63">
        <f t="shared" si="1"/>
        <v>422010</v>
      </c>
    </row>
    <row r="49" spans="1:7" x14ac:dyDescent="0.3">
      <c r="A49" s="2">
        <v>10</v>
      </c>
      <c r="C49" s="38" t="s">
        <v>22</v>
      </c>
      <c r="D49" s="42">
        <f>TRUNC(21744.692534671,-1)</f>
        <v>21740</v>
      </c>
      <c r="E49" s="63">
        <f t="shared" si="1"/>
        <v>71860</v>
      </c>
    </row>
    <row r="50" spans="1:7" x14ac:dyDescent="0.3">
      <c r="A50" s="2">
        <v>11</v>
      </c>
      <c r="C50" s="38" t="s">
        <v>155</v>
      </c>
      <c r="D50" s="42">
        <f>TRUNC(47966.6146355857,-1)</f>
        <v>47960</v>
      </c>
      <c r="E50" s="63">
        <f t="shared" si="1"/>
        <v>158540</v>
      </c>
    </row>
    <row r="51" spans="1:7" x14ac:dyDescent="0.3">
      <c r="A51" s="2">
        <v>12</v>
      </c>
      <c r="C51" s="38" t="s">
        <v>23</v>
      </c>
      <c r="D51" s="42">
        <f>TRUNC(18168.0855709649,-1)</f>
        <v>18160</v>
      </c>
      <c r="E51" s="63">
        <f t="shared" si="1"/>
        <v>60030</v>
      </c>
    </row>
    <row r="52" spans="1:7" x14ac:dyDescent="0.3">
      <c r="A52" s="2">
        <v>13</v>
      </c>
      <c r="C52" s="38" t="s">
        <v>24</v>
      </c>
      <c r="D52" s="42">
        <f>TRUNC(10650.0742106816,-1)</f>
        <v>10650</v>
      </c>
      <c r="E52" s="63">
        <f t="shared" si="1"/>
        <v>35200</v>
      </c>
    </row>
    <row r="53" spans="1:7" x14ac:dyDescent="0.3">
      <c r="A53" s="2">
        <v>14</v>
      </c>
      <c r="C53" s="38" t="s">
        <v>25</v>
      </c>
      <c r="D53" s="42">
        <f>TRUNC(35261.8123340218,-1)</f>
        <v>35260</v>
      </c>
      <c r="E53" s="63">
        <f t="shared" si="1"/>
        <v>116560</v>
      </c>
    </row>
    <row r="54" spans="1:7" x14ac:dyDescent="0.3">
      <c r="A54" s="2">
        <v>15</v>
      </c>
      <c r="C54" s="38" t="s">
        <v>147</v>
      </c>
      <c r="D54" s="42">
        <f>TRUNC(23928.2013868398,-1)</f>
        <v>23920</v>
      </c>
      <c r="E54" s="63">
        <f t="shared" si="1"/>
        <v>79070</v>
      </c>
    </row>
    <row r="55" spans="1:7" x14ac:dyDescent="0.3">
      <c r="A55" s="2">
        <v>16</v>
      </c>
      <c r="C55" s="38" t="s">
        <v>144</v>
      </c>
      <c r="D55" s="42">
        <f>TRUNC(1230.76851578637,-1)</f>
        <v>1230</v>
      </c>
      <c r="E55" s="63">
        <f t="shared" si="1"/>
        <v>4060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TRUNC(19515.6798465624+14990.0973738566+544.69150191797+3235.39392151077+337.375627028622-607.287547949248,-1)</f>
        <v>38010</v>
      </c>
      <c r="E58" s="63">
        <f t="shared" si="1"/>
        <v>125650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TRUNC(104334.02183535,-1)</f>
        <v>104330</v>
      </c>
      <c r="E59" s="64">
        <f t="shared" si="1"/>
        <v>344890</v>
      </c>
    </row>
    <row r="60" spans="1:7" x14ac:dyDescent="0.3">
      <c r="A60" s="2">
        <v>21</v>
      </c>
      <c r="C60" s="27" t="s">
        <v>112</v>
      </c>
      <c r="D60" s="39">
        <f>SUM(D40:D59)</f>
        <v>625630</v>
      </c>
      <c r="E60" s="39">
        <f>SUM(E40:E59)</f>
        <v>2068120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TRUNC(14021.124963116,-1)</f>
        <v>14020</v>
      </c>
      <c r="E63" s="62">
        <f>TRUNC(+D63*3.3058,-1)</f>
        <v>46340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TRUNC(12991.994983771,-1)</f>
        <v>12990</v>
      </c>
      <c r="E65" s="64">
        <f>TRUNC(+D65*3.3058,-1)</f>
        <v>42940</v>
      </c>
    </row>
    <row r="66" spans="1:7" x14ac:dyDescent="0.3">
      <c r="A66" s="2">
        <v>4</v>
      </c>
      <c r="C66" s="27" t="s">
        <v>112</v>
      </c>
      <c r="D66" s="39">
        <f>SUM(D63:D65)</f>
        <v>27010</v>
      </c>
      <c r="E66" s="65">
        <f>SUM(E63:E65)</f>
        <v>89280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TRUNC(24570.4942460903,-1)</f>
        <v>24570</v>
      </c>
      <c r="E69" s="62">
        <f t="shared" ref="E69:E94" si="2">TRUNC(+D69*3.3058,-1)</f>
        <v>81220</v>
      </c>
    </row>
    <row r="70" spans="1:7" ht="16.5" customHeight="1" x14ac:dyDescent="0.3">
      <c r="A70" s="2">
        <v>2</v>
      </c>
      <c r="C70" s="38" t="s">
        <v>31</v>
      </c>
      <c r="D70" s="42">
        <f>TRUNC(1344.11684862791,-1)</f>
        <v>1340</v>
      </c>
      <c r="E70" s="63">
        <f t="shared" si="2"/>
        <v>4420</v>
      </c>
    </row>
    <row r="71" spans="1:7" x14ac:dyDescent="0.3">
      <c r="A71" s="2">
        <v>3</v>
      </c>
      <c r="C71" s="38" t="s">
        <v>32</v>
      </c>
      <c r="D71" s="42">
        <f>TRUNC(25812.2921215698,-1)</f>
        <v>25810</v>
      </c>
      <c r="E71" s="63">
        <f t="shared" si="2"/>
        <v>85320</v>
      </c>
    </row>
    <row r="72" spans="1:7" x14ac:dyDescent="0.3">
      <c r="A72" s="2">
        <v>4</v>
      </c>
      <c r="C72" s="38" t="s">
        <v>33</v>
      </c>
      <c r="D72" s="42">
        <f>TRUNC(957.842578931838,-1)</f>
        <v>950</v>
      </c>
      <c r="E72" s="63">
        <f t="shared" si="2"/>
        <v>3140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TRUNC(737.385659486574,-1)</f>
        <v>730</v>
      </c>
      <c r="E75" s="63">
        <f t="shared" si="2"/>
        <v>2410</v>
      </c>
      <c r="F75" s="2" t="s">
        <v>258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TRUNC(30601.5708173502,-1)</f>
        <v>30600</v>
      </c>
      <c r="E78" s="63">
        <f t="shared" si="2"/>
        <v>101150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TRUNC(12406.8067276483,-1)</f>
        <v>12400</v>
      </c>
      <c r="E81" s="63">
        <f t="shared" si="2"/>
        <v>40990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TRUNC(2364.70935379168,-1)</f>
        <v>2360</v>
      </c>
      <c r="E84" s="63">
        <f t="shared" si="2"/>
        <v>7800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TRUNC(619.722632044851,-1)</f>
        <v>610</v>
      </c>
      <c r="E90" s="63">
        <f t="shared" si="2"/>
        <v>2010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TRUNC(18513.4548539392,-1)</f>
        <v>18510</v>
      </c>
      <c r="E92" s="63">
        <f t="shared" si="2"/>
        <v>61190</v>
      </c>
      <c r="F92" s="2" t="s">
        <v>256</v>
      </c>
    </row>
    <row r="93" spans="1:7" x14ac:dyDescent="0.3">
      <c r="A93" s="2">
        <v>25</v>
      </c>
      <c r="C93" s="38" t="s">
        <v>148</v>
      </c>
      <c r="D93" s="42">
        <f>TRUNC(32158.6013573325,-1)</f>
        <v>32150</v>
      </c>
      <c r="E93" s="63">
        <f t="shared" si="2"/>
        <v>106280</v>
      </c>
    </row>
    <row r="94" spans="1:7" ht="17.25" thickBot="1" x14ac:dyDescent="0.35">
      <c r="A94" s="2">
        <v>26</v>
      </c>
      <c r="C94" s="38" t="s">
        <v>47</v>
      </c>
      <c r="D94" s="43">
        <f>TRUNC(1758.44541162585,-1)</f>
        <v>1750</v>
      </c>
      <c r="E94" s="64">
        <f t="shared" si="2"/>
        <v>5780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151780</v>
      </c>
      <c r="E95" s="39">
        <f>SUM(E69:E94)</f>
        <v>501710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TRUNC(6116.94039539687,-1)</f>
        <v>6110</v>
      </c>
      <c r="E98" s="62">
        <f t="shared" ref="E98:E118" si="3">TRUNC(+D98*3.3058,-1)</f>
        <v>20190</v>
      </c>
    </row>
    <row r="99" spans="1:7" x14ac:dyDescent="0.3">
      <c r="A99" s="2">
        <v>2</v>
      </c>
      <c r="C99" s="38" t="s">
        <v>40</v>
      </c>
      <c r="D99" s="42">
        <f>TRUNC(3046.84656240779,-1)</f>
        <v>3040</v>
      </c>
      <c r="E99" s="63">
        <f t="shared" si="3"/>
        <v>10040</v>
      </c>
    </row>
    <row r="100" spans="1:7" x14ac:dyDescent="0.3">
      <c r="A100" s="2">
        <v>3</v>
      </c>
      <c r="C100" s="38" t="s">
        <v>41</v>
      </c>
      <c r="D100" s="42">
        <f>TRUNC(19810.0243434641,-1)</f>
        <v>19810</v>
      </c>
      <c r="E100" s="63">
        <f t="shared" si="3"/>
        <v>65480</v>
      </c>
    </row>
    <row r="101" spans="1:7" x14ac:dyDescent="0.3">
      <c r="A101" s="2">
        <v>4</v>
      </c>
      <c r="C101" s="38" t="s">
        <v>42</v>
      </c>
      <c r="D101" s="42">
        <f>TRUNC(114.168043670699,-1)</f>
        <v>110</v>
      </c>
      <c r="E101" s="63">
        <f t="shared" si="3"/>
        <v>360</v>
      </c>
    </row>
    <row r="102" spans="1:7" x14ac:dyDescent="0.3">
      <c r="A102" s="2">
        <v>5</v>
      </c>
      <c r="C102" s="38" t="s">
        <v>43</v>
      </c>
      <c r="D102" s="42">
        <f>TRUNC(8131.92652699911,-1)</f>
        <v>8130</v>
      </c>
      <c r="E102" s="63">
        <f t="shared" si="3"/>
        <v>26870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TRUNC(2057.6155208026,-1)</f>
        <v>2050</v>
      </c>
      <c r="E104" s="63">
        <f t="shared" si="3"/>
        <v>6770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TRUNC(2149.94541162585,-1)</f>
        <v>2140</v>
      </c>
      <c r="E115" s="63">
        <f t="shared" si="3"/>
        <v>7070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TRUNC(14753.6146355857+90505.9014458542,-1)</f>
        <v>105250</v>
      </c>
      <c r="E117" s="63">
        <f t="shared" si="3"/>
        <v>347930</v>
      </c>
    </row>
    <row r="118" spans="1:7" ht="17.25" thickBot="1" x14ac:dyDescent="0.35">
      <c r="A118" s="2">
        <v>21</v>
      </c>
      <c r="C118" s="38" t="s">
        <v>47</v>
      </c>
      <c r="D118" s="43">
        <f>TRUNC(616.944231336677+114.263794629684,-1)</f>
        <v>730</v>
      </c>
      <c r="E118" s="64">
        <f t="shared" si="3"/>
        <v>2410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147370</v>
      </c>
      <c r="E119" s="39">
        <f>SUM(E98:E118)</f>
        <v>487120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TRUNC(1317.58896429625,-1)</f>
        <v>1310</v>
      </c>
      <c r="E122" s="62">
        <f t="shared" ref="E122:E132" si="4">TRUNC(+D122*3.3058,-1)</f>
        <v>4330</v>
      </c>
      <c r="F122" s="2" t="s">
        <v>251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TRUNC(662.149896724698,-1)</f>
        <v>660</v>
      </c>
      <c r="E124" s="63">
        <f t="shared" si="4"/>
        <v>2180</v>
      </c>
      <c r="F124" s="2" t="s">
        <v>252</v>
      </c>
    </row>
    <row r="125" spans="1:7" x14ac:dyDescent="0.3">
      <c r="A125" s="2">
        <v>4</v>
      </c>
      <c r="C125" s="38" t="s">
        <v>138</v>
      </c>
      <c r="D125" s="42">
        <f>TRUNC(6854.94128061375,-1)</f>
        <v>6850</v>
      </c>
      <c r="E125" s="63">
        <f t="shared" si="4"/>
        <v>22640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TRUNC(15415.7289760991,-1)</f>
        <v>15410</v>
      </c>
      <c r="E130" s="63">
        <f t="shared" si="4"/>
        <v>50940</v>
      </c>
    </row>
    <row r="131" spans="1:7" x14ac:dyDescent="0.3">
      <c r="A131" s="2">
        <v>10</v>
      </c>
      <c r="C131" s="38" t="s">
        <v>148</v>
      </c>
      <c r="D131" s="42">
        <f>TRUNC(19855.5621127176,-1)</f>
        <v>19850</v>
      </c>
      <c r="E131" s="63">
        <f t="shared" si="4"/>
        <v>65620</v>
      </c>
    </row>
    <row r="132" spans="1:7" ht="18" thickBot="1" x14ac:dyDescent="0.35">
      <c r="A132" s="2">
        <v>11</v>
      </c>
      <c r="C132" s="38" t="s">
        <v>47</v>
      </c>
      <c r="D132" s="43">
        <f>TRUNC(2411.52360578342+115.596931248156,-1)</f>
        <v>2520</v>
      </c>
      <c r="E132" s="64">
        <f t="shared" si="4"/>
        <v>8330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46600</v>
      </c>
      <c r="E133" s="39">
        <f>SUM(E122:E132)</f>
        <v>154040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TRUNC(14682.2305989968,-1)</f>
        <v>14680</v>
      </c>
      <c r="E136" s="62">
        <f t="shared" ref="E136:E145" si="5">TRUNC(+D136*3.3058,-1)</f>
        <v>48520</v>
      </c>
      <c r="F136" s="2" t="s">
        <v>257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TRUNC(7816.08217763352,-1)</f>
        <v>7810</v>
      </c>
      <c r="E144" s="63">
        <f t="shared" si="5"/>
        <v>25810</v>
      </c>
      <c r="F144" s="2" t="s">
        <v>255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22490</v>
      </c>
      <c r="E146" s="39">
        <f>SUM(E136:E145)</f>
        <v>74330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TRUNC(3821.01888462673+1366.6174387725,-1)</f>
        <v>5180</v>
      </c>
      <c r="E149" s="62">
        <f>TRUNC(+D149*3.3058,-1)</f>
        <v>17120</v>
      </c>
      <c r="F149" s="2" t="s">
        <v>262</v>
      </c>
    </row>
    <row r="150" spans="1:7" x14ac:dyDescent="0.3">
      <c r="A150" s="2">
        <v>2</v>
      </c>
      <c r="C150" s="38" t="s">
        <v>49</v>
      </c>
      <c r="D150" s="42">
        <f>TRUNC(3116.56993213337,-1)</f>
        <v>3110</v>
      </c>
      <c r="E150" s="63">
        <f>TRUNC(+D150*3.3058,-1)</f>
        <v>10280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TRUNC(1439.86382413691+10031.7058129242+5525.23989377397+390.216730598997+5434.92003540868+967.864119209206,-1)</f>
        <v>23780</v>
      </c>
      <c r="E152" s="63">
        <f>TRUNC(+D152*3.3058,-1)</f>
        <v>78610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32070</v>
      </c>
      <c r="E154" s="39">
        <f>SUM(E149:E153)</f>
        <v>106010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TRUNC(9059.7205665388+2292.84980820301,-1)</f>
        <v>11350</v>
      </c>
      <c r="E157" s="62">
        <f>TRUNC(+D157*3.3058,-1)</f>
        <v>37520</v>
      </c>
      <c r="F157" s="2" t="s">
        <v>259</v>
      </c>
    </row>
    <row r="158" spans="1:7" x14ac:dyDescent="0.3">
      <c r="A158" s="2">
        <v>2</v>
      </c>
      <c r="C158" s="38" t="s">
        <v>52</v>
      </c>
      <c r="D158" s="42">
        <f>TRUNC(4307.29241664208,-1)</f>
        <v>4300</v>
      </c>
      <c r="E158" s="63">
        <f>TRUNC(+D158*3.3058,-1)</f>
        <v>14210</v>
      </c>
    </row>
    <row r="159" spans="1:7" x14ac:dyDescent="0.3">
      <c r="A159" s="2">
        <v>3</v>
      </c>
      <c r="C159" s="38" t="s">
        <v>47</v>
      </c>
      <c r="D159" s="42">
        <f>TRUNC(4027.96857480083+2138.63602832694+58.3405134257893,-1)</f>
        <v>6220</v>
      </c>
      <c r="E159" s="63">
        <f>TRUNC(+D159*3.3058,-1)</f>
        <v>20560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21870</v>
      </c>
      <c r="E161" s="39">
        <f>SUM(E157:E160)</f>
        <v>72290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2020-12-07T09:20:03Z</dcterms:modified>
</cp:coreProperties>
</file>