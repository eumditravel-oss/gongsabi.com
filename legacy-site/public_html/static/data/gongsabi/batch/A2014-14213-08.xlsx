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25" i="4"/>
  <c r="D128" i="4"/>
  <c r="D123" i="4"/>
  <c r="D132" i="4"/>
  <c r="D118" i="4"/>
  <c r="D108" i="4"/>
  <c r="D102" i="4"/>
  <c r="D100" i="4"/>
  <c r="D105" i="4"/>
  <c r="D116" i="4"/>
  <c r="D99" i="4"/>
  <c r="D94" i="4"/>
  <c r="D81" i="4"/>
  <c r="D72" i="4"/>
  <c r="D90" i="4"/>
  <c r="D78" i="4"/>
  <c r="D92" i="4"/>
  <c r="D70" i="4"/>
  <c r="D69" i="4"/>
  <c r="D58" i="4"/>
  <c r="D53" i="4"/>
  <c r="D52" i="4"/>
  <c r="D51" i="4"/>
  <c r="D50" i="4"/>
  <c r="D49" i="4"/>
  <c r="D48" i="4"/>
  <c r="D55" i="4"/>
  <c r="D44" i="4"/>
  <c r="D46" i="4"/>
  <c r="D45" i="4"/>
  <c r="D43" i="4"/>
  <c r="D41" i="4"/>
  <c r="D40" i="4"/>
  <c r="D37" i="4"/>
  <c r="D137" i="4"/>
  <c r="D159" i="4"/>
  <c r="D152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60" i="4"/>
  <c r="E146" i="4"/>
  <c r="E154" i="4"/>
  <c r="D161" i="4"/>
  <c r="D154" i="4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<sst xmlns="http://schemas.openxmlformats.org/spreadsheetml/2006/main" count="396" uniqueCount="271">
  <si>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</si>
  <si>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</si>
  <si>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</si>
  <si>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</si>
  <si>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</si>
  <si>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</si>
  <si>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</si>
  <si>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</si>
  <si>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</si>
  <si>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</si>
  <si>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</si>
  <si>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</si>
  <si>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</si>
  <si>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</si>
  <si>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</si>
  <si>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</si>
  <si>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</si>
  <si>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</si>
  <si>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</si>
  <si>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</si>
  <si>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</si>
  <si>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</si>
  <si>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</si>
  <si>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</si>
  <si>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</si>
  <si>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</si>
  <si>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</si>
  <si>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</si>
  <si>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</si>
  <si>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</si>
  <si>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</si>
  <si>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</si>
  <si>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</si>
  <si>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</si>
  <si>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</si>
  <si>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</si>
  <si>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</si>
  <si>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</si>
  <si>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</si>
  <si>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</si>
  <si>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</si>
  <si>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</si>
  <si>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</si>
  <si>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</si>
  <si>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</si>
  <si>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</si>
  <si>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</si>
  <si>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</si>
  <si>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</si>
  <si>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</si>
  <si>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</si>
  <si>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</si>
  <si>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</si>
  <si>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</si>
  <si>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</si>
  <si>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</si>
  <si>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</si>
  <si>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</si>
  <si>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</si>
  <si>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</si>
  <si>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</si>
  <si>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</si>
  <si>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</si>
  <si>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</si>
  <si>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</si>
  <si>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</si>
  <si>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</si>
  <si>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</si>
  <si>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</si>
  <si>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</si>
  <si>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</si>
  <si>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</si>
  <si>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</si>
  <si>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</si>
  <si>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</si>
  <si>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</si>
  <si>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</si>
  <si>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</si>
  <si>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</si>
  <si>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</si>
  <si>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</si>
  <si>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</si>
  <si>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</si>
  <si>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</si>
  <si>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</si>
  <si>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</si>
  <si>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</si>
  <si>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</si>
  <si>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</si>
  <si>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</si>
  <si>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</si>
  <si>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</si>
  <si>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</si>
  <si>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</si>
  <si>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</si>
  <si>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</si>
  <si>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</si>
  <si>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</si>
  <si>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</si>
  <si>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</si>
  <si>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</si>
  <si>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</si>
  <si>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</si>
  <si>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</si>
  <si>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</si>
  <si>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</si>
  <si>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</si>
  <si>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</si>
  <si>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</si>
  <si>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</si>
  <si>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</si>
  <si>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</si>
  <si>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</si>
  <si>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</si>
  <si>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</si>
  <si>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</si>
  <si>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</si>
  <si>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</si>
  <si>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</si>
  <si>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</si>
  <si>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</si>
  <si>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</si>
  <si>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</si>
  <si>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</si>
  <si>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</si>
  <si>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</si>
  <si>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</si>
  <si>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</si>
  <si>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</si>
  <si>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</si>
  <si>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</si>
  <si>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</si>
  <si>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</si>
  <si>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</si>
  <si>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</si>
  <si>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</si>
  <si>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</si>
  <si>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</si>
  <si>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</si>
  <si>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</si>
  <si>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</si>
  <si>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</si>
  <si>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</si>
  <si>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</si>
  <si>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</si>
  <si>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</si>
  <si>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</si>
  <si>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</si>
  <si>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</si>
  <si>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</si>
  <si>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</si>
  <si>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</si>
  <si>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</si>
  <si>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</si>
  <si>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</si>
  <si>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</si>
  <si>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</si>
  <si>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</si>
  <si>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</si>
  <si>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</si>
  <si>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</si>
  <si>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</si>
  <si>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</si>
  <si>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</si>
  <si>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</si>
  <si>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</si>
  <si>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</si>
  <si>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</si>
  <si>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</si>
  <si>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</si>
  <si>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</si>
  <si>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</si>
  <si>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</si>
  <si>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</si>
  <si>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</si>
  <si>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</si>
  <si>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</si>
  <si>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</si>
  <si>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</si>
  <si>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</si>
  <si>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</si>
  <si>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</si>
  <si>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</si>
  <si>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</si>
  <si>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</si>
  <si>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</si>
  <si>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</si>
  <si>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</si>
  <si>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</si>
  <si>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</si>
  <si>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</si>
  <si>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</si>
  <si>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</si>
  <si>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</si>
  <si>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</si>
  <si>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</si>
  <si>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</si>
  <si>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</si>
  <si>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</si>
  <si>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</si>
  <si>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</si>
  <si>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</si>
  <si>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</si>
  <si>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</si>
  <si>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</si>
  <si>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</si>
  <si>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</si>
  <si>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</si>
  <si>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</si>
  <si>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</si>
  <si>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</si>
  <si>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</si>
  <si>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</si>
  <si>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</si>
  <si>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</si>
  <si>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</si>
  <si>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</si>
  <si>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</si>
  <si>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</si>
  <si>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</si>
  <si>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</si>
  <si>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</si>
  <si>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</si>
  <si>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</si>
  <si>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</si>
  <si>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</si>
  <si>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</si>
  <si>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</si>
  <si>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</si>
  <si>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</si>
  <si>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</si>
  <si>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</si>
  <si>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</si>
  <si>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</si>
  <si>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</si>
  <si>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</si>
  <si>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</si>
  <si>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</si>
  <si>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</si>
  <si>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</si>
  <si>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</si>
  <si>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</si>
  <si>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</si>
  <si>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</si>
  <si>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</si>
  <si>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</si>
  <si>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</si>
  <si>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</si>
  <si>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000 000캠퍼스 학생생활관2 신축공사</t>
    <phoneticPr fontId="2" type="noConversion"/>
  </si>
  <si>
    <t>전라도</t>
  </si>
  <si>
    <t>부대조경공사</t>
    <phoneticPr fontId="2" type="noConversion"/>
  </si>
  <si>
    <t>부대토목공사</t>
    <phoneticPr fontId="2" type="noConversion"/>
  </si>
  <si>
    <t>전기 소방공사</t>
    <phoneticPr fontId="2" type="noConversion"/>
  </si>
  <si>
    <t>토공사,기타공사,조립식욕실공사,태양광발전설비공사(BIPV),철거공사,골재비,운반비</t>
    <phoneticPr fontId="2" type="noConversion"/>
  </si>
  <si>
    <t>위생설비공사</t>
    <phoneticPr fontId="2" type="noConversion"/>
  </si>
  <si>
    <t>전열교환기설치공사</t>
    <phoneticPr fontId="2" type="noConversion"/>
  </si>
  <si>
    <t>기계실동력공사</t>
    <phoneticPr fontId="2" type="noConversion"/>
  </si>
  <si>
    <t>전기인입 및 지장물 철거공사</t>
    <phoneticPr fontId="2" type="noConversion"/>
  </si>
  <si>
    <t>단위세대(전열)공사</t>
    <phoneticPr fontId="2" type="noConversion"/>
  </si>
  <si>
    <t>단위세대(냉난방)공사</t>
    <phoneticPr fontId="2" type="noConversion"/>
  </si>
  <si>
    <t>전기간선공사,단위세대(객실관리)공사,외등공사</t>
    <phoneticPr fontId="2" type="noConversion"/>
  </si>
  <si>
    <t>단위세대(전등)공사,전등공사</t>
    <phoneticPr fontId="2" type="noConversion"/>
  </si>
  <si>
    <t>통신인입공사,엘레베이트인터폰공사</t>
    <phoneticPr fontId="2" type="noConversion"/>
  </si>
  <si>
    <t>구내통신선로,LAN공사</t>
    <phoneticPr fontId="2" type="noConversion"/>
  </si>
  <si>
    <t>방송공동수신 공사</t>
    <phoneticPr fontId="2" type="noConversion"/>
  </si>
  <si>
    <t>숙박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</si>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</sst>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3738</v>
      </c>
      <c r="D7" s="36">
        <f>+C7/3.3058</f>
        <v>1130.7399116703975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540</v>
      </c>
      <c r="E24" s="58">
        <f t="shared" ref="E24:E33" si="0">TRUNC(+D24*3.3058,-1)</f>
        <v>1780</v>
      </c>
    </row>
    <row r="25" spans="1:5" x14ac:dyDescent="0.3">
      <c r="B25" s="2">
        <v>2</v>
      </c>
      <c r="C25" s="35" t="s">
        <v>111</v>
      </c>
      <c r="D25" s="45">
        <f>+D60</f>
        <v>852060</v>
      </c>
      <c r="E25" s="59">
        <f t="shared" si="0"/>
        <v>2816730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218670</v>
      </c>
      <c r="E27" s="59">
        <f t="shared" si="0"/>
        <v>722870</v>
      </c>
    </row>
    <row r="28" spans="1:5" x14ac:dyDescent="0.3">
      <c r="B28" s="2">
        <v>5</v>
      </c>
      <c r="C28" s="35" t="s">
        <v>97</v>
      </c>
      <c r="D28" s="45">
        <f>+D119</f>
        <v>160580</v>
      </c>
      <c r="E28" s="59">
        <f t="shared" si="0"/>
        <v>530840</v>
      </c>
    </row>
    <row r="29" spans="1:5" x14ac:dyDescent="0.3">
      <c r="B29" s="2">
        <v>6</v>
      </c>
      <c r="C29" s="35" t="s">
        <v>98</v>
      </c>
      <c r="D29" s="45">
        <f>+D133</f>
        <v>50220</v>
      </c>
      <c r="E29" s="59">
        <f t="shared" si="0"/>
        <v>166010</v>
      </c>
    </row>
    <row r="30" spans="1:5" x14ac:dyDescent="0.3">
      <c r="B30" s="2">
        <v>7</v>
      </c>
      <c r="C30" s="35" t="s">
        <v>99</v>
      </c>
      <c r="D30" s="45">
        <f>+D146</f>
        <v>23890</v>
      </c>
      <c r="E30" s="59">
        <f t="shared" si="0"/>
        <v>78970</v>
      </c>
    </row>
    <row r="31" spans="1:5" x14ac:dyDescent="0.3">
      <c r="B31" s="2">
        <v>8</v>
      </c>
      <c r="C31" s="35" t="s">
        <v>100</v>
      </c>
      <c r="D31" s="45">
        <f>+D154</f>
        <v>18980</v>
      </c>
      <c r="E31" s="59">
        <f t="shared" si="0"/>
        <v>62740</v>
      </c>
    </row>
    <row r="32" spans="1:5" x14ac:dyDescent="0.3">
      <c r="B32" s="2">
        <v>9</v>
      </c>
      <c r="C32" s="35" t="s">
        <v>101</v>
      </c>
      <c r="D32" s="45">
        <f>+D161</f>
        <v>21610</v>
      </c>
      <c r="E32" s="59">
        <f t="shared" si="0"/>
        <v>71430</v>
      </c>
    </row>
    <row r="33" spans="1:7" x14ac:dyDescent="0.3">
      <c r="B33" s="2">
        <v>10</v>
      </c>
      <c r="C33" s="35" t="s">
        <v>154</v>
      </c>
      <c r="D33" s="53">
        <f>TRUNC(SUM(D24:D32)*0.275,-1)</f>
        <v>370300</v>
      </c>
      <c r="E33" s="60">
        <f t="shared" si="0"/>
        <v>1224130</v>
      </c>
    </row>
    <row r="34" spans="1:7" x14ac:dyDescent="0.3">
      <c r="C34" s="35" t="s">
        <v>112</v>
      </c>
      <c r="D34" s="44">
        <f>SUM(D24:D33)</f>
        <v>1716850</v>
      </c>
      <c r="E34" s="44">
        <f>SUM(E24:E33)</f>
        <v>5675500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TRUNC(548,-1)</f>
        <v>540</v>
      </c>
      <c r="E37" s="61">
        <f>TRUNC(+D37*3.3058,-1)</f>
        <v>1780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TRUNC(30740,-1)</f>
        <v>30740</v>
      </c>
      <c r="E40" s="62">
        <f t="shared" ref="E40:E59" si="1">TRUNC(+D40*3.3058,-1)</f>
        <v>101620</v>
      </c>
    </row>
    <row r="41" spans="1:7" x14ac:dyDescent="0.3">
      <c r="A41" s="2">
        <v>2</v>
      </c>
      <c r="C41" s="38" t="s">
        <v>13</v>
      </c>
      <c r="D41" s="42">
        <f>TRUNC(108989,-1)</f>
        <v>108980</v>
      </c>
      <c r="E41" s="63">
        <f t="shared" si="1"/>
        <v>360260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TRUNC(71562,-1)</f>
        <v>71560</v>
      </c>
      <c r="E43" s="63">
        <f t="shared" si="1"/>
        <v>236560</v>
      </c>
    </row>
    <row r="44" spans="1:7" x14ac:dyDescent="0.3">
      <c r="A44" s="2">
        <v>5</v>
      </c>
      <c r="C44" s="38" t="s">
        <v>17</v>
      </c>
      <c r="D44" s="42">
        <f>TRUNC(21459,-1)</f>
        <v>21450</v>
      </c>
      <c r="E44" s="63">
        <f t="shared" si="1"/>
        <v>70900</v>
      </c>
    </row>
    <row r="45" spans="1:7" x14ac:dyDescent="0.3">
      <c r="A45" s="2">
        <v>6</v>
      </c>
      <c r="C45" s="38" t="s">
        <v>18</v>
      </c>
      <c r="D45" s="42">
        <f>TRUNC(4190,-1)</f>
        <v>4190</v>
      </c>
      <c r="E45" s="63">
        <f t="shared" si="1"/>
        <v>13850</v>
      </c>
    </row>
    <row r="46" spans="1:7" x14ac:dyDescent="0.3">
      <c r="A46" s="2">
        <v>7</v>
      </c>
      <c r="C46" s="38" t="s">
        <v>19</v>
      </c>
      <c r="D46" s="42">
        <f>TRUNC(14361,-1)</f>
        <v>14360</v>
      </c>
      <c r="E46" s="63">
        <f t="shared" si="1"/>
        <v>47470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TRUNC(23935,-1)</f>
        <v>23930</v>
      </c>
      <c r="E48" s="63">
        <f t="shared" si="1"/>
        <v>79100</v>
      </c>
    </row>
    <row r="49" spans="1:7" x14ac:dyDescent="0.3">
      <c r="A49" s="2">
        <v>10</v>
      </c>
      <c r="C49" s="38" t="s">
        <v>22</v>
      </c>
      <c r="D49" s="42">
        <f>TRUNC(33006,-1)</f>
        <v>33000</v>
      </c>
      <c r="E49" s="63">
        <f t="shared" si="1"/>
        <v>109090</v>
      </c>
    </row>
    <row r="50" spans="1:7" x14ac:dyDescent="0.3">
      <c r="A50" s="2">
        <v>11</v>
      </c>
      <c r="C50" s="38" t="s">
        <v>155</v>
      </c>
      <c r="D50" s="42">
        <f>TRUNC(33003,-1)</f>
        <v>33000</v>
      </c>
      <c r="E50" s="63">
        <f t="shared" si="1"/>
        <v>109090</v>
      </c>
    </row>
    <row r="51" spans="1:7" x14ac:dyDescent="0.3">
      <c r="A51" s="2">
        <v>12</v>
      </c>
      <c r="C51" s="38" t="s">
        <v>23</v>
      </c>
      <c r="D51" s="42">
        <f>TRUNC(18999,-1)</f>
        <v>18990</v>
      </c>
      <c r="E51" s="63">
        <f t="shared" si="1"/>
        <v>62770</v>
      </c>
    </row>
    <row r="52" spans="1:7" x14ac:dyDescent="0.3">
      <c r="A52" s="2">
        <v>13</v>
      </c>
      <c r="C52" s="38" t="s">
        <v>24</v>
      </c>
      <c r="D52" s="42">
        <f>TRUNC(7623,-1)</f>
        <v>7620</v>
      </c>
      <c r="E52" s="63">
        <f t="shared" si="1"/>
        <v>25190</v>
      </c>
    </row>
    <row r="53" spans="1:7" x14ac:dyDescent="0.3">
      <c r="A53" s="2">
        <v>14</v>
      </c>
      <c r="C53" s="38" t="s">
        <v>25</v>
      </c>
      <c r="D53" s="42">
        <f>TRUNC(55415,-1)</f>
        <v>55410</v>
      </c>
      <c r="E53" s="63">
        <f t="shared" si="1"/>
        <v>183170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TRUNC(20099,-1)</f>
        <v>20090</v>
      </c>
      <c r="E55" s="63">
        <f t="shared" si="1"/>
        <v>66410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TRUNC(10912+3212+74623+69156+1886+3745+2803,-1)</f>
        <v>166330</v>
      </c>
      <c r="E58" s="63">
        <f t="shared" si="1"/>
        <v>549850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TRUNC(242419,-1)</f>
        <v>242410</v>
      </c>
      <c r="E59" s="64">
        <f t="shared" si="1"/>
        <v>801350</v>
      </c>
    </row>
    <row r="60" spans="1:7" x14ac:dyDescent="0.3">
      <c r="A60" s="2">
        <v>21</v>
      </c>
      <c r="C60" s="27" t="s">
        <v>112</v>
      </c>
      <c r="D60" s="39">
        <f>SUM(D40:D59)</f>
        <v>852060</v>
      </c>
      <c r="E60" s="39">
        <f>SUM(E40:E59)</f>
        <v>2816680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TRUNC(8546,-1)</f>
        <v>8540</v>
      </c>
      <c r="E69" s="62">
        <f t="shared" ref="E69:E94" si="2">TRUNC(+D69*3.3058,-1)</f>
        <v>28230</v>
      </c>
    </row>
    <row r="70" spans="1:7" ht="16.5" customHeight="1" x14ac:dyDescent="0.3">
      <c r="A70" s="2">
        <v>2</v>
      </c>
      <c r="C70" s="38" t="s">
        <v>31</v>
      </c>
      <c r="D70" s="42">
        <f>TRUNC(2726,-1)</f>
        <v>2720</v>
      </c>
      <c r="E70" s="63">
        <f t="shared" si="2"/>
        <v>8990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TRUNC(4780,-1)</f>
        <v>4780</v>
      </c>
      <c r="E72" s="63">
        <f t="shared" si="2"/>
        <v>15800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TRUNC(6554,-1)</f>
        <v>6550</v>
      </c>
      <c r="E78" s="63">
        <f t="shared" si="2"/>
        <v>21650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TRUNC(8520,-1)</f>
        <v>8520</v>
      </c>
      <c r="E81" s="63">
        <f t="shared" si="2"/>
        <v>28160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TRUNC(2192,-1)</f>
        <v>2190</v>
      </c>
      <c r="E90" s="63">
        <f t="shared" si="2"/>
        <v>7230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TRUNC(45865,-1)</f>
        <v>45860</v>
      </c>
      <c r="E92" s="63">
        <f t="shared" si="2"/>
        <v>151600</v>
      </c>
      <c r="F92" s="2" t="s">
        <v>254</v>
      </c>
    </row>
    <row r="93" spans="1:7" x14ac:dyDescent="0.3">
      <c r="A93" s="2">
        <v>25</v>
      </c>
      <c r="C93" s="38" t="s">
        <v>148</v>
      </c>
      <c r="D93" s="42">
        <f>TRUNC(138807,-1)</f>
        <v>138800</v>
      </c>
      <c r="E93" s="63">
        <f t="shared" si="2"/>
        <v>458840</v>
      </c>
    </row>
    <row r="94" spans="1:7" ht="17.25" thickBot="1" x14ac:dyDescent="0.35">
      <c r="A94" s="2">
        <v>26</v>
      </c>
      <c r="C94" s="38" t="s">
        <v>47</v>
      </c>
      <c r="D94" s="43">
        <f>TRUNC(710,-1)</f>
        <v>710</v>
      </c>
      <c r="E94" s="64">
        <f t="shared" si="2"/>
        <v>2340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218670</v>
      </c>
      <c r="E95" s="39">
        <f>SUM(E69:E94)</f>
        <v>722840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TRUNC(1439,-1)</f>
        <v>1430</v>
      </c>
      <c r="E99" s="63">
        <f t="shared" si="3"/>
        <v>4720</v>
      </c>
      <c r="F99" s="2" t="s">
        <v>256</v>
      </c>
    </row>
    <row r="100" spans="1:7" x14ac:dyDescent="0.3">
      <c r="A100" s="2">
        <v>3</v>
      </c>
      <c r="C100" s="38" t="s">
        <v>41</v>
      </c>
      <c r="D100" s="42">
        <f>TRUNC(8868+9024,-1)</f>
        <v>17890</v>
      </c>
      <c r="E100" s="63">
        <f t="shared" si="3"/>
        <v>59140</v>
      </c>
      <c r="F100" s="2" t="s">
        <v>261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TRUNC(6976,-1)</f>
        <v>6970</v>
      </c>
      <c r="E102" s="63">
        <f t="shared" si="3"/>
        <v>23040</v>
      </c>
      <c r="F102" s="2" t="s">
        <v>258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TRUNC(4784,-1)</f>
        <v>4780</v>
      </c>
      <c r="E105" s="63">
        <f t="shared" si="3"/>
        <v>15800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TRUNC(4959,-1)</f>
        <v>4950</v>
      </c>
      <c r="E108" s="63">
        <f t="shared" si="3"/>
        <v>16360</v>
      </c>
      <c r="F108" s="2" t="s">
        <v>259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TRUNC(44776,-1)</f>
        <v>44770</v>
      </c>
      <c r="E116" s="63">
        <f t="shared" si="3"/>
        <v>148000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TRUNC(61227,-1)</f>
        <v>61220</v>
      </c>
      <c r="E117" s="63">
        <f t="shared" si="3"/>
        <v>202380</v>
      </c>
    </row>
    <row r="118" spans="1:7" ht="17.25" thickBot="1" x14ac:dyDescent="0.35">
      <c r="A118" s="2">
        <v>21</v>
      </c>
      <c r="C118" s="38" t="s">
        <v>47</v>
      </c>
      <c r="D118" s="43">
        <f>TRUNC(10819+4822+2931,-1)</f>
        <v>18570</v>
      </c>
      <c r="E118" s="64">
        <f t="shared" si="3"/>
        <v>61380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160580</v>
      </c>
      <c r="E119" s="39">
        <f>SUM(E98:E118)</f>
        <v>530820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f>TRUNC(22529,-1)</f>
        <v>22520</v>
      </c>
      <c r="E123" s="63">
        <f t="shared" si="4"/>
        <v>74440</v>
      </c>
      <c r="F123" s="2" t="s">
        <v>263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TRUNC(5513,-1)</f>
        <v>5510</v>
      </c>
      <c r="E125" s="63">
        <f t="shared" si="4"/>
        <v>18210</v>
      </c>
      <c r="F125" s="2" t="s">
        <v>264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TRUNC(3669,-1)</f>
        <v>3660</v>
      </c>
      <c r="E128" s="63">
        <f t="shared" si="4"/>
        <v>12090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TRUNC(17029,-1)</f>
        <v>17020</v>
      </c>
      <c r="E131" s="63">
        <f t="shared" si="4"/>
        <v>56260</v>
      </c>
    </row>
    <row r="132" spans="1:7" ht="18" thickBot="1" x14ac:dyDescent="0.35">
      <c r="A132" s="2">
        <v>11</v>
      </c>
      <c r="C132" s="38" t="s">
        <v>47</v>
      </c>
      <c r="D132" s="43">
        <f>TRUNC(1245+271,-1)</f>
        <v>1510</v>
      </c>
      <c r="E132" s="64">
        <f t="shared" si="4"/>
        <v>4990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50220</v>
      </c>
      <c r="E133" s="39">
        <f>SUM(E122:E132)</f>
        <v>165990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TRUNC(23892,-1)</f>
        <v>23890</v>
      </c>
      <c r="E137" s="63">
        <f t="shared" si="5"/>
        <v>78970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23890</v>
      </c>
      <c r="E146" s="39">
        <f>SUM(E136:E145)</f>
        <v>78970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TRUNC(18987,-1)</f>
        <v>18980</v>
      </c>
      <c r="E152" s="63">
        <f>TRUNC(+D152*3.3058,-1)</f>
        <v>62740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18980</v>
      </c>
      <c r="E154" s="39">
        <f>SUM(E149:E153)</f>
        <v>62740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TRUNC(21619,-1)</f>
        <v>21610</v>
      </c>
      <c r="E159" s="63">
        <f>TRUNC(+D159*3.3058,-1)</f>
        <v>71430</v>
      </c>
      <c r="F159" s="2" t="s">
        <v>250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21610</v>
      </c>
      <c r="E161" s="39">
        <f>SUM(E157:E160)</f>
        <v>71430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2020-12-07T09:54:20Z</dcterms:modified>
</cp:coreProperties>
</file>