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0" i="4"/>
  <c r="D149" i="4"/>
  <c r="D144" i="4"/>
  <c r="D143" i="4"/>
  <c r="D142" i="4"/>
  <c r="D132" i="4"/>
  <c r="D131" i="4"/>
  <c r="D130" i="4"/>
  <c r="D128" i="4"/>
  <c r="D125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2" i="4"/>
  <c r="D91" i="4"/>
  <c r="D89" i="4"/>
  <c r="D76" i="4"/>
  <c r="D73" i="4"/>
  <c r="D72" i="4"/>
  <c r="D70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<sst xmlns="http://schemas.openxmlformats.org/spreadsheetml/2006/main" count="392" uniqueCount="265">
  <si>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</si>
  <si>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</si>
  <si>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</si>
  <si>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</si>
  <si>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</si>
  <si>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</si>
  <si>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</si>
  <si>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</si>
  <si>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</si>
  <si>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</si>
  <si>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</si>
  <si>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</si>
  <si>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</si>
  <si>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</si>
  <si>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</si>
  <si>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</si>
  <si>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</si>
  <si>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</si>
  <si>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</si>
  <si>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</si>
  <si>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</si>
  <si>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</si>
  <si>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</si>
  <si>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</si>
  <si>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</si>
  <si>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</si>
  <si>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</si>
  <si>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</si>
  <si>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</si>
  <si>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</si>
  <si>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</si>
  <si>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</si>
  <si>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</si>
  <si>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</si>
  <si>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</si>
  <si>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</si>
  <si>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</si>
  <si>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</si>
  <si>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</si>
  <si>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</si>
  <si>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</si>
  <si>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</si>
  <si>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</si>
  <si>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</si>
  <si>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</si>
  <si>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</si>
  <si>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</si>
  <si>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</si>
  <si>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</si>
  <si>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</si>
  <si>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</si>
  <si>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</si>
  <si>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</si>
  <si>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</si>
  <si>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</si>
  <si>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</si>
  <si>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</si>
  <si>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</si>
  <si>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</si>
  <si>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</si>
  <si>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</si>
  <si>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</si>
  <si>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</si>
  <si>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</si>
  <si>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</si>
  <si>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</si>
  <si>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</si>
  <si>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</si>
  <si>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</si>
  <si>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</si>
  <si>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</si>
  <si>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</si>
  <si>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</si>
  <si>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</si>
  <si>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</si>
  <si>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</si>
  <si>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</si>
  <si>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</si>
  <si>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</si>
  <si>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</si>
  <si>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</si>
  <si>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</si>
  <si>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</si>
  <si>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</si>
  <si>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</si>
  <si>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</si>
  <si>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</si>
  <si>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</si>
  <si>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</si>
  <si>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</si>
  <si>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</si>
  <si>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</si>
  <si>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</si>
  <si>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</si>
  <si>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</si>
  <si>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</si>
  <si>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</si>
  <si>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</si>
  <si>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</si>
  <si>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</si>
  <si>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</si>
  <si>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</si>
  <si>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</si>
  <si>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</si>
  <si>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</si>
  <si>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</si>
  <si>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</si>
  <si>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</si>
  <si>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</si>
  <si>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</si>
  <si>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</si>
  <si>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</si>
  <si>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</si>
  <si>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</si>
  <si>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</si>
  <si>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</si>
  <si>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</si>
  <si>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</si>
  <si>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</si>
  <si>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</si>
  <si>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</si>
  <si>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</si>
  <si>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</si>
  <si>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</si>
  <si>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</si>
  <si>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</si>
  <si>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</si>
  <si>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</si>
  <si>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</si>
  <si>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</si>
  <si>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</si>
  <si>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</si>
  <si>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</si>
  <si>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</si>
  <si>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</si>
  <si>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</si>
  <si>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</si>
  <si>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</si>
  <si>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</si>
  <si>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</si>
  <si>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</si>
  <si>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</si>
  <si>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</si>
  <si>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</si>
  <si>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</si>
  <si>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</si>
  <si>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</si>
  <si>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</si>
  <si>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</si>
  <si>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</si>
  <si>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</si>
  <si>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</si>
  <si>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</si>
  <si>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</si>
  <si>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</si>
  <si>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</si>
  <si>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</si>
  <si>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</si>
  <si>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</si>
  <si>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</si>
  <si>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</si>
  <si>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</si>
  <si>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</si>
  <si>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</si>
  <si>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</si>
  <si>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</si>
  <si>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</si>
  <si>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</si>
  <si>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</si>
  <si>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</si>
  <si>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</si>
  <si>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</si>
  <si>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</si>
  <si>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</si>
  <si>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</si>
  <si>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</si>
  <si>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</si>
  <si>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</si>
  <si>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</si>
  <si>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</si>
  <si>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</si>
  <si>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</si>
  <si>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</si>
  <si>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</si>
  <si>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</si>
  <si>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</si>
  <si>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</si>
  <si>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</si>
  <si>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</si>
  <si>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</si>
  <si>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</si>
  <si>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</si>
  <si>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</si>
  <si>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</si>
  <si>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</si>
  <si>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</si>
  <si>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</si>
  <si>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</si>
  <si>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</si>
  <si>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</si>
  <si>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</si>
  <si>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</si>
  <si>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</si>
  <si>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</si>
  <si>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</si>
  <si>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</si>
  <si>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</si>
  <si>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</si>
  <si>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</si>
  <si>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</si>
  <si>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</si>
  <si>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</si>
  <si>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</si>
  <si>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</si>
  <si>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</si>
  <si>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</si>
  <si>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</si>
  <si>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</si>
  <si>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</si>
  <si>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</si>
  <si>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</si>
  <si>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</si>
  <si>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</si>
  <si>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</si>
  <si>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</si>
  <si>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</si>
  <si>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</si>
  <si>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</si>
  <si>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</si>
  <si>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</si>
  <si>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</si>
  <si>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</si>
  <si>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</si>
  <si>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</si>
  <si>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</si>
  <si>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</si>
  <si>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</si>
  <si>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</si>
  <si>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</si>
  <si>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</si>
  <si>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</si>
  <si>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</si>
  <si>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</si>
  <si>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</si>
  <si>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</si>
  <si>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</si>
  <si>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</si>
  <si>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</si>
  <si>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</si>
  <si>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</si>
  <si>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</si>
  <si>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</si>
  <si>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</si>
  <si>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</si>
  <si>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</si>
  <si>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(가칭)군산은파초등학교 신축공사</t>
    <phoneticPr fontId="2" type="noConversion"/>
  </si>
  <si>
    <t>전라도</t>
  </si>
  <si>
    <t>기초공사, 골재비및운반비, 품질시험비, 기타공사</t>
    <phoneticPr fontId="2" type="noConversion"/>
  </si>
  <si>
    <t>CCTV설비공사, 기타공사</t>
    <phoneticPr fontId="2" type="noConversion"/>
  </si>
  <si>
    <t>상수도공사, 운반비, 기타공사</t>
    <phoneticPr fontId="2" type="noConversion"/>
  </si>
  <si>
    <t>포장공사</t>
    <phoneticPr fontId="2" type="noConversion"/>
  </si>
  <si>
    <t>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</si>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</sst>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9179.83</v>
      </c>
      <c r="D7" s="36">
        <f>+C7/3.3058</f>
        <v>2776.8860790126446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1049870</v>
      </c>
      <c r="E25" s="59">
        <f t="shared" si="0"/>
        <v>3470660</v>
      </c>
    </row>
    <row r="26" spans="1:5" x14ac:dyDescent="0.3">
      <c r="B26" s="2">
        <v>3</v>
      </c>
      <c r="C26" s="35" t="s">
        <v>95</v>
      </c>
      <c r="D26" s="45">
        <f>+D66</f>
        <v>43330</v>
      </c>
      <c r="E26" s="59">
        <f t="shared" si="0"/>
        <v>143240</v>
      </c>
    </row>
    <row r="27" spans="1:5" x14ac:dyDescent="0.3">
      <c r="B27" s="2">
        <v>4</v>
      </c>
      <c r="C27" s="35" t="s">
        <v>96</v>
      </c>
      <c r="D27" s="45">
        <f>+D95</f>
        <v>117570</v>
      </c>
      <c r="E27" s="59">
        <f t="shared" si="0"/>
        <v>388660</v>
      </c>
    </row>
    <row r="28" spans="1:5" x14ac:dyDescent="0.3">
      <c r="B28" s="2">
        <v>5</v>
      </c>
      <c r="C28" s="35" t="s">
        <v>97</v>
      </c>
      <c r="D28" s="45">
        <f>+D119</f>
        <v>173430</v>
      </c>
      <c r="E28" s="59">
        <f t="shared" si="0"/>
        <v>573320</v>
      </c>
    </row>
    <row r="29" spans="1:5" x14ac:dyDescent="0.3">
      <c r="B29" s="2">
        <v>6</v>
      </c>
      <c r="C29" s="35" t="s">
        <v>98</v>
      </c>
      <c r="D29" s="45">
        <f>+D133</f>
        <v>94330</v>
      </c>
      <c r="E29" s="59">
        <f t="shared" si="0"/>
        <v>311830</v>
      </c>
    </row>
    <row r="30" spans="1:5" x14ac:dyDescent="0.3">
      <c r="B30" s="2">
        <v>7</v>
      </c>
      <c r="C30" s="35" t="s">
        <v>99</v>
      </c>
      <c r="D30" s="45">
        <f>+D146</f>
        <v>37030</v>
      </c>
      <c r="E30" s="59">
        <f t="shared" si="0"/>
        <v>122410</v>
      </c>
    </row>
    <row r="31" spans="1:5" x14ac:dyDescent="0.3">
      <c r="B31" s="2">
        <v>8</v>
      </c>
      <c r="C31" s="35" t="s">
        <v>100</v>
      </c>
      <c r="D31" s="45">
        <f>+D154</f>
        <v>54580</v>
      </c>
      <c r="E31" s="59">
        <f t="shared" si="0"/>
        <v>180430</v>
      </c>
    </row>
    <row r="32" spans="1:5" x14ac:dyDescent="0.3">
      <c r="B32" s="2">
        <v>9</v>
      </c>
      <c r="C32" s="35" t="s">
        <v>101</v>
      </c>
      <c r="D32" s="45">
        <f>+D161</f>
        <v>27070</v>
      </c>
      <c r="E32" s="59">
        <f t="shared" si="0"/>
        <v>89480</v>
      </c>
    </row>
    <row r="33" spans="1:7" x14ac:dyDescent="0.3">
      <c r="B33" s="2">
        <v>10</v>
      </c>
      <c r="C33" s="35" t="s">
        <v>154</v>
      </c>
      <c r="D33" s="53">
        <f>TRUNC(SUM(D24:D32)*0.275,-1)</f>
        <v>439230</v>
      </c>
      <c r="E33" s="60">
        <f t="shared" si="0"/>
        <v>1452000</v>
      </c>
    </row>
    <row r="34" spans="1:7" x14ac:dyDescent="0.3">
      <c r="C34" s="35" t="s">
        <v>112</v>
      </c>
      <c r="D34" s="44">
        <f>SUM(D24:D33)</f>
        <v>2036440</v>
      </c>
      <c r="E34" s="44">
        <f>SUM(E24:E33)</f>
        <v>6732030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TRUNC(44103,-1)</f>
        <v>44100</v>
      </c>
      <c r="E40" s="62">
        <f t="shared" ref="E40:E59" si="1">TRUNC(+D40*3.3058,-1)</f>
        <v>145780</v>
      </c>
    </row>
    <row r="41" spans="1:7" x14ac:dyDescent="0.3">
      <c r="A41" s="2">
        <v>2</v>
      </c>
      <c r="C41" s="38" t="s">
        <v>13</v>
      </c>
      <c r="D41" s="42">
        <f>TRUNC(134952,-1)</f>
        <v>134950</v>
      </c>
      <c r="E41" s="63">
        <f t="shared" si="1"/>
        <v>446110</v>
      </c>
    </row>
    <row r="42" spans="1:7" x14ac:dyDescent="0.3">
      <c r="A42" s="2">
        <v>3</v>
      </c>
      <c r="C42" s="38" t="s">
        <v>14</v>
      </c>
      <c r="D42" s="42">
        <v>22960</v>
      </c>
      <c r="E42" s="63">
        <f t="shared" si="1"/>
        <v>75900</v>
      </c>
    </row>
    <row r="43" spans="1:7" x14ac:dyDescent="0.3">
      <c r="A43" s="2">
        <v>4</v>
      </c>
      <c r="C43" s="38" t="s">
        <v>16</v>
      </c>
      <c r="D43" s="42">
        <f>TRUNC(36813,-1)</f>
        <v>36810</v>
      </c>
      <c r="E43" s="63">
        <f t="shared" si="1"/>
        <v>121680</v>
      </c>
    </row>
    <row r="44" spans="1:7" x14ac:dyDescent="0.3">
      <c r="A44" s="2">
        <v>5</v>
      </c>
      <c r="C44" s="38" t="s">
        <v>17</v>
      </c>
      <c r="D44" s="42">
        <f>TRUNC(16602,-1)</f>
        <v>16600</v>
      </c>
      <c r="E44" s="63">
        <f t="shared" si="1"/>
        <v>54870</v>
      </c>
    </row>
    <row r="45" spans="1:7" x14ac:dyDescent="0.3">
      <c r="A45" s="2">
        <v>6</v>
      </c>
      <c r="C45" s="38" t="s">
        <v>18</v>
      </c>
      <c r="D45" s="42">
        <f>TRUNC(6798,-1)</f>
        <v>6790</v>
      </c>
      <c r="E45" s="63">
        <f t="shared" si="1"/>
        <v>22440</v>
      </c>
    </row>
    <row r="46" spans="1:7" x14ac:dyDescent="0.3">
      <c r="A46" s="2">
        <v>7</v>
      </c>
      <c r="C46" s="38" t="s">
        <v>19</v>
      </c>
      <c r="D46" s="42">
        <f>TRUNC(21149,-1)</f>
        <v>21140</v>
      </c>
      <c r="E46" s="63">
        <f t="shared" si="1"/>
        <v>69880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TRUNC(89467,-1)</f>
        <v>89460</v>
      </c>
      <c r="E48" s="63">
        <f t="shared" si="1"/>
        <v>295730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TRUNC(17103,-1)</f>
        <v>17100</v>
      </c>
      <c r="E49" s="63">
        <f t="shared" si="1"/>
        <v>56520</v>
      </c>
    </row>
    <row r="50" spans="1:7" x14ac:dyDescent="0.3">
      <c r="A50" s="2">
        <v>11</v>
      </c>
      <c r="C50" s="38" t="s">
        <v>155</v>
      </c>
      <c r="D50" s="42">
        <f>TRUNC(52709,-1)</f>
        <v>52700</v>
      </c>
      <c r="E50" s="63">
        <f t="shared" si="1"/>
        <v>174210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TRUNC(18138,-1)</f>
        <v>18130</v>
      </c>
      <c r="E52" s="63">
        <f t="shared" si="1"/>
        <v>59930</v>
      </c>
    </row>
    <row r="53" spans="1:7" x14ac:dyDescent="0.3">
      <c r="A53" s="2">
        <v>14</v>
      </c>
      <c r="C53" s="38" t="s">
        <v>25</v>
      </c>
      <c r="D53" s="42">
        <f>TRUNC(114129,-1)</f>
        <v>114120</v>
      </c>
      <c r="E53" s="63">
        <f t="shared" si="1"/>
        <v>377250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TRUNC(39533+8833+900+31996,-1)</f>
        <v>81260</v>
      </c>
      <c r="E58" s="63">
        <f t="shared" si="1"/>
        <v>268620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TRUNC(393754,-1)</f>
        <v>393750</v>
      </c>
      <c r="E59" s="64">
        <f t="shared" si="1"/>
        <v>1301650</v>
      </c>
    </row>
    <row r="60" spans="1:7" x14ac:dyDescent="0.3">
      <c r="A60" s="2">
        <v>21</v>
      </c>
      <c r="C60" s="27" t="s">
        <v>112</v>
      </c>
      <c r="D60" s="39">
        <f>SUM(D40:D59)</f>
        <v>1049870</v>
      </c>
      <c r="E60" s="39">
        <f>SUM(E40:E59)</f>
        <v>3470570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TRUNC(43339,-1)</f>
        <v>43330</v>
      </c>
      <c r="E63" s="62">
        <f>TRUNC(+D63*3.3058,-1)</f>
        <v>143240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43330</v>
      </c>
      <c r="E66" s="65">
        <f>SUM(E63:E65)</f>
        <v>143240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9440</v>
      </c>
      <c r="E69" s="62">
        <f t="shared" ref="E69:E94" si="2">TRUNC(+D69*3.3058,-1)</f>
        <v>31200</v>
      </c>
    </row>
    <row r="70" spans="1:7" ht="16.5" customHeight="1" x14ac:dyDescent="0.3">
      <c r="A70" s="2">
        <v>2</v>
      </c>
      <c r="C70" s="38" t="s">
        <v>31</v>
      </c>
      <c r="D70" s="42">
        <f>TRUNC(1347,-1)</f>
        <v>1340</v>
      </c>
      <c r="E70" s="63">
        <f t="shared" si="2"/>
        <v>4420</v>
      </c>
    </row>
    <row r="71" spans="1:7" x14ac:dyDescent="0.3">
      <c r="A71" s="2">
        <v>3</v>
      </c>
      <c r="C71" s="38" t="s">
        <v>32</v>
      </c>
      <c r="D71" s="42">
        <v>7090</v>
      </c>
      <c r="E71" s="63">
        <f t="shared" si="2"/>
        <v>23430</v>
      </c>
    </row>
    <row r="72" spans="1:7" x14ac:dyDescent="0.3">
      <c r="A72" s="2">
        <v>4</v>
      </c>
      <c r="C72" s="38" t="s">
        <v>33</v>
      </c>
      <c r="D72" s="42">
        <f>TRUNC(7326,-1)</f>
        <v>7320</v>
      </c>
      <c r="E72" s="63">
        <f t="shared" si="2"/>
        <v>24190</v>
      </c>
    </row>
    <row r="73" spans="1:7" x14ac:dyDescent="0.3">
      <c r="A73" s="2">
        <v>5</v>
      </c>
      <c r="C73" s="38" t="s">
        <v>34</v>
      </c>
      <c r="D73" s="42">
        <f>TRUNC(19189,-1)</f>
        <v>19180</v>
      </c>
      <c r="E73" s="63">
        <f t="shared" si="2"/>
        <v>63400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TRUNC(43683,-1)</f>
        <v>43680</v>
      </c>
      <c r="E76" s="63">
        <f t="shared" si="2"/>
        <v>144390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TRUNC(6225,-1)</f>
        <v>6220</v>
      </c>
      <c r="E89" s="63">
        <f t="shared" si="2"/>
        <v>20560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TRUNC(7557,-1)</f>
        <v>7550</v>
      </c>
      <c r="E91" s="63">
        <f t="shared" si="2"/>
        <v>24950</v>
      </c>
    </row>
    <row r="92" spans="1:7" x14ac:dyDescent="0.3">
      <c r="A92" s="2">
        <v>24</v>
      </c>
      <c r="C92" s="38" t="s">
        <v>38</v>
      </c>
      <c r="D92" s="42">
        <f>TRUNC(13796,-1)</f>
        <v>13790</v>
      </c>
      <c r="E92" s="63">
        <f t="shared" si="2"/>
        <v>45580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TRUNC(1962,-1)</f>
        <v>1960</v>
      </c>
      <c r="E94" s="64">
        <f t="shared" si="2"/>
        <v>6470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117570</v>
      </c>
      <c r="E95" s="39">
        <f>SUM(E69:E94)</f>
        <v>388590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TRUNC(12681,-1)</f>
        <v>12680</v>
      </c>
      <c r="E98" s="62">
        <f t="shared" ref="E98:E118" si="3">TRUNC(+D98*3.3058,-1)</f>
        <v>41910</v>
      </c>
    </row>
    <row r="99" spans="1:7" x14ac:dyDescent="0.3">
      <c r="A99" s="2">
        <v>2</v>
      </c>
      <c r="C99" s="38" t="s">
        <v>40</v>
      </c>
      <c r="D99" s="42">
        <f>TRUNC(5103,-1)</f>
        <v>5100</v>
      </c>
      <c r="E99" s="63">
        <f t="shared" si="3"/>
        <v>16850</v>
      </c>
    </row>
    <row r="100" spans="1:7" x14ac:dyDescent="0.3">
      <c r="A100" s="2">
        <v>3</v>
      </c>
      <c r="C100" s="38" t="s">
        <v>41</v>
      </c>
      <c r="D100" s="42">
        <f>TRUNC(30983,-1)</f>
        <v>30980</v>
      </c>
      <c r="E100" s="63">
        <f t="shared" si="3"/>
        <v>102410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TRUNC(19143,-1)</f>
        <v>19140</v>
      </c>
      <c r="E102" s="63">
        <f t="shared" si="3"/>
        <v>63270</v>
      </c>
    </row>
    <row r="103" spans="1:7" x14ac:dyDescent="0.3">
      <c r="A103" s="2">
        <v>6</v>
      </c>
      <c r="C103" s="38" t="s">
        <v>44</v>
      </c>
      <c r="D103" s="42">
        <f>TRUNC(6847,-1)</f>
        <v>6840</v>
      </c>
      <c r="E103" s="63">
        <f t="shared" si="3"/>
        <v>22610</v>
      </c>
    </row>
    <row r="104" spans="1:7" x14ac:dyDescent="0.3">
      <c r="A104" s="2">
        <v>7</v>
      </c>
      <c r="C104" s="38" t="s">
        <v>45</v>
      </c>
      <c r="D104" s="42">
        <f>TRUNC(5023,-1)</f>
        <v>5020</v>
      </c>
      <c r="E104" s="63">
        <f t="shared" si="3"/>
        <v>16590</v>
      </c>
    </row>
    <row r="105" spans="1:7" x14ac:dyDescent="0.3">
      <c r="A105" s="2">
        <v>8</v>
      </c>
      <c r="C105" s="38" t="s">
        <v>46</v>
      </c>
      <c r="D105" s="42">
        <f>TRUNC(6654,-1)</f>
        <v>6650</v>
      </c>
      <c r="E105" s="63">
        <f t="shared" si="3"/>
        <v>21980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TRUNC(2536,-1)</f>
        <v>2530</v>
      </c>
      <c r="E114" s="63">
        <f t="shared" si="3"/>
        <v>8360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3990</v>
      </c>
      <c r="E116" s="63">
        <f t="shared" si="3"/>
        <v>13190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TRUNC(78512,-1)</f>
        <v>78510</v>
      </c>
      <c r="E117" s="63">
        <f t="shared" si="3"/>
        <v>259530</v>
      </c>
    </row>
    <row r="118" spans="1:7" ht="17.25" thickBot="1" x14ac:dyDescent="0.35">
      <c r="A118" s="2">
        <v>21</v>
      </c>
      <c r="C118" s="38" t="s">
        <v>47</v>
      </c>
      <c r="D118" s="43">
        <f>TRUNC(1992,-1)</f>
        <v>1990</v>
      </c>
      <c r="E118" s="64">
        <f t="shared" si="3"/>
        <v>6570</v>
      </c>
    </row>
    <row r="119" spans="1:7" x14ac:dyDescent="0.3">
      <c r="A119" s="2">
        <v>22</v>
      </c>
      <c r="C119" s="27" t="s">
        <v>112</v>
      </c>
      <c r="D119" s="39">
        <f>SUM(D98:D118)</f>
        <v>173430</v>
      </c>
      <c r="E119" s="39">
        <f>SUM(E98:E118)</f>
        <v>573270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TRUNC(4417,-1)</f>
        <v>4410</v>
      </c>
      <c r="E122" s="62">
        <f t="shared" ref="E122:E132" si="4">TRUNC(+D122*3.3058,-1)</f>
        <v>14570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1510</v>
      </c>
      <c r="E124" s="63">
        <f t="shared" si="4"/>
        <v>4990</v>
      </c>
    </row>
    <row r="125" spans="1:7" x14ac:dyDescent="0.3">
      <c r="A125" s="2">
        <v>4</v>
      </c>
      <c r="C125" s="38" t="s">
        <v>138</v>
      </c>
      <c r="D125" s="42">
        <f>TRUNC(8394,-1)</f>
        <v>8390</v>
      </c>
      <c r="E125" s="63">
        <f t="shared" si="4"/>
        <v>27730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TRUNC(7706,-1)</f>
        <v>7700</v>
      </c>
      <c r="E128" s="63">
        <f t="shared" si="4"/>
        <v>25450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TRUNC(22024,-1)</f>
        <v>22020</v>
      </c>
      <c r="E130" s="63">
        <f t="shared" si="4"/>
        <v>72790</v>
      </c>
    </row>
    <row r="131" spans="1:7" x14ac:dyDescent="0.3">
      <c r="A131" s="2">
        <v>10</v>
      </c>
      <c r="C131" s="38" t="s">
        <v>148</v>
      </c>
      <c r="D131" s="42">
        <f>TRUNC(47602,-1)</f>
        <v>47600</v>
      </c>
      <c r="E131" s="63">
        <f t="shared" si="4"/>
        <v>157350</v>
      </c>
    </row>
    <row r="132" spans="1:7" ht="18" thickBot="1" x14ac:dyDescent="0.35">
      <c r="A132" s="2">
        <v>11</v>
      </c>
      <c r="C132" s="38" t="s">
        <v>47</v>
      </c>
      <c r="D132" s="43">
        <f>TRUNC(1489+1215,-1)</f>
        <v>2700</v>
      </c>
      <c r="E132" s="64">
        <f t="shared" si="4"/>
        <v>8920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94330</v>
      </c>
      <c r="E133" s="39">
        <f>SUM(E122:E132)</f>
        <v>311800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TRUNC(18539,-1)</f>
        <v>18530</v>
      </c>
      <c r="E142" s="63">
        <f t="shared" si="5"/>
        <v>61250</v>
      </c>
    </row>
    <row r="143" spans="1:7" x14ac:dyDescent="0.3">
      <c r="A143" s="2">
        <v>8</v>
      </c>
      <c r="C143" s="38" t="s">
        <v>62</v>
      </c>
      <c r="D143" s="42">
        <f>TRUNC(3707,-1)</f>
        <v>3700</v>
      </c>
      <c r="E143" s="63">
        <f t="shared" si="5"/>
        <v>12230</v>
      </c>
    </row>
    <row r="144" spans="1:7" x14ac:dyDescent="0.3">
      <c r="A144" s="2">
        <v>9</v>
      </c>
      <c r="C144" s="38" t="s">
        <v>63</v>
      </c>
      <c r="D144" s="42">
        <f>TRUNC(14805,-1)</f>
        <v>14800</v>
      </c>
      <c r="E144" s="63">
        <f t="shared" si="5"/>
        <v>48920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37030</v>
      </c>
      <c r="E146" s="39">
        <f>SUM(E136:E145)</f>
        <v>122400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TRUNC(9794+2801,-1)</f>
        <v>12590</v>
      </c>
      <c r="E149" s="62">
        <f>TRUNC(+D149*3.3058,-1)</f>
        <v>41620</v>
      </c>
    </row>
    <row r="150" spans="1:7" x14ac:dyDescent="0.3">
      <c r="A150" s="2">
        <v>2</v>
      </c>
      <c r="C150" s="38" t="s">
        <v>49</v>
      </c>
      <c r="D150" s="42">
        <f>TRUNC(14107,-1)</f>
        <v>14100</v>
      </c>
      <c r="E150" s="63">
        <f>TRUNC(+D150*3.3058,-1)</f>
        <v>46610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TRUNC(4077+45+23775,-1)</f>
        <v>27890</v>
      </c>
      <c r="E152" s="63">
        <f>TRUNC(+D152*3.3058,-1)</f>
        <v>92190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54580</v>
      </c>
      <c r="E154" s="39">
        <f>SUM(E149:E153)</f>
        <v>180420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TRUNC(13274,-1)</f>
        <v>13270</v>
      </c>
      <c r="E157" s="62">
        <f>TRUNC(+D157*3.3058,-1)</f>
        <v>43860</v>
      </c>
    </row>
    <row r="158" spans="1:7" x14ac:dyDescent="0.3">
      <c r="A158" s="2">
        <v>2</v>
      </c>
      <c r="C158" s="38" t="s">
        <v>52</v>
      </c>
      <c r="D158" s="42">
        <f>TRUNC(1434,-1)</f>
        <v>1430</v>
      </c>
      <c r="E158" s="63">
        <f>TRUNC(+D158*3.3058,-1)</f>
        <v>4720</v>
      </c>
    </row>
    <row r="159" spans="1:7" x14ac:dyDescent="0.3">
      <c r="A159" s="2">
        <v>3</v>
      </c>
      <c r="C159" s="38" t="s">
        <v>47</v>
      </c>
      <c r="D159" s="42">
        <v>12370</v>
      </c>
      <c r="E159" s="63">
        <f>TRUNC(+D159*3.3058,-1)</f>
        <v>40890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27070</v>
      </c>
      <c r="E161" s="39">
        <f>SUM(E157:E160)</f>
        <v>89470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2020-12-08T02:00:00Z</dcterms:modified>
</cp:coreProperties>
</file>