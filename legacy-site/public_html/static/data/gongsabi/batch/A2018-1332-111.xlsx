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8" i="4" l="1"/>
  <c r="D53" i="4"/>
  <c r="D52" i="4"/>
  <c r="D50" i="4"/>
  <c r="D49" i="4"/>
  <c r="D48" i="4"/>
  <c r="D46" i="4"/>
  <c r="D45" i="4"/>
  <c r="D44" i="4"/>
  <c r="D43" i="4"/>
  <c r="D42" i="4"/>
  <c r="D41" i="4"/>
  <c r="D40" i="4"/>
  <c r="D65" i="4"/>
  <c r="D63" i="4"/>
  <c r="D91" i="4"/>
  <c r="D92" i="4"/>
  <c r="D89" i="4"/>
  <c r="D73" i="4"/>
  <c r="D72" i="4"/>
  <c r="D94" i="4"/>
  <c r="D71" i="4"/>
  <c r="D69" i="4"/>
  <c r="D105" i="4"/>
  <c r="D104" i="4"/>
  <c r="D103" i="4"/>
  <c r="D102" i="4"/>
  <c r="D99" i="4"/>
  <c r="D101" i="4"/>
  <c r="D100" i="4"/>
  <c r="D114" i="4"/>
  <c r="D98" i="4"/>
  <c r="D132" i="4"/>
  <c r="D128" i="4"/>
  <c r="D124" i="4"/>
  <c r="D125" i="4"/>
  <c r="D122" i="4"/>
  <c r="D130" i="4"/>
  <c r="D144" i="4"/>
  <c r="D143" i="4"/>
  <c r="D142" i="4"/>
  <c r="D152" i="4"/>
  <c r="D151" i="4"/>
  <c r="D150" i="4"/>
  <c r="D149" i="4"/>
  <c r="D159" i="4"/>
  <c r="D157" i="4"/>
  <c r="D145" i="4"/>
  <c r="D131" i="4"/>
  <c r="D117" i="4"/>
  <c r="D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60" i="4"/>
  <c r="E66" i="4"/>
  <c r="E95" i="4"/>
  <c r="E133" i="4"/>
  <c r="E146" i="4"/>
  <c r="E154" i="4"/>
  <c r="E119" i="4"/>
  <c r="D161" i="4"/>
  <c r="D32" i="4" s="1"/>
  <c r="E32" i="4" s="1"/>
  <c r="D154" i="4"/>
  <c r="D31" i="4" s="1"/>
  <c r="E31" i="4" s="1"/>
  <c r="D146" i="4"/>
  <c r="D30" i="4" s="1"/>
  <c r="E30" i="4" s="1"/>
  <c r="D133" i="4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29" i="4"/>
  <c r="E29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<sst xmlns="http://schemas.openxmlformats.org/spreadsheetml/2006/main" count="391" uniqueCount="266">
  <si>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</si>
  <si>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</si>
  <si>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</si>
  <si>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</si>
  <si>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</si>
  <si>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</si>
  <si>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</si>
  <si>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</si>
  <si>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</si>
  <si>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</si>
  <si>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</si>
  <si>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</si>
  <si>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</si>
  <si>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</si>
  <si>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</si>
  <si>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</si>
  <si>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</si>
  <si>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</si>
  <si>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</si>
  <si>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</si>
  <si>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</si>
  <si>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</si>
  <si>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</si>
  <si>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</si>
  <si>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</si>
  <si>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</si>
  <si>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</si>
  <si>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</si>
  <si>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</si>
  <si>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</si>
  <si>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</si>
  <si>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</si>
  <si>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</si>
  <si>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</si>
  <si>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</si>
  <si>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</si>
  <si>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</si>
  <si>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</si>
  <si>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</si>
  <si>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</si>
  <si>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</si>
  <si>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</si>
  <si>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</si>
  <si>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</si>
  <si>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</si>
  <si>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</si>
  <si>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</si>
  <si>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</si>
  <si>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</si>
  <si>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</si>
  <si>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</si>
  <si>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</si>
  <si>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</si>
  <si>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</si>
  <si>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</si>
  <si>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</si>
  <si>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</si>
  <si>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</si>
  <si>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</si>
  <si>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</si>
  <si>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</si>
  <si>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</si>
  <si>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</si>
  <si>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</si>
  <si>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</si>
  <si>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</si>
  <si>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</si>
  <si>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</si>
  <si>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</si>
  <si>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</si>
  <si>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</si>
  <si>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</si>
  <si>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</si>
  <si>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</si>
  <si>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</si>
  <si>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</si>
  <si>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</si>
  <si>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</si>
  <si>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</si>
  <si>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</si>
  <si>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</si>
  <si>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</si>
  <si>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</si>
  <si>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</si>
  <si>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</si>
  <si>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</si>
  <si>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</si>
  <si>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</si>
  <si>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</si>
  <si>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</si>
  <si>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</si>
  <si>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</si>
  <si>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</si>
  <si>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</si>
  <si>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</si>
  <si>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</si>
  <si>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</si>
  <si>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</si>
  <si>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</si>
  <si>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</si>
  <si>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</si>
  <si>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</si>
  <si>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</si>
  <si>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</si>
  <si>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</si>
  <si>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</si>
  <si>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</si>
  <si>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</si>
  <si>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</si>
  <si>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</si>
  <si>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</si>
  <si>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</si>
  <si>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</si>
  <si>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</si>
  <si>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</si>
  <si>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</si>
  <si>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</si>
  <si>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</si>
  <si>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</si>
  <si>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</si>
  <si>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</si>
  <si>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</si>
  <si>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</si>
  <si>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</si>
  <si>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</si>
  <si>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</si>
  <si>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</si>
  <si>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</si>
  <si>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</si>
  <si>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</si>
  <si>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</si>
  <si>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</si>
  <si>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</si>
  <si>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</si>
  <si>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</si>
  <si>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</si>
  <si>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</si>
  <si>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</si>
  <si>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</si>
  <si>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</si>
  <si>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</si>
  <si>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</si>
  <si>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</si>
  <si>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</si>
  <si>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</si>
  <si>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</si>
  <si>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</si>
  <si>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</si>
  <si>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</si>
  <si>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</si>
  <si>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</si>
  <si>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</si>
  <si>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</si>
  <si>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</si>
  <si>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</si>
  <si>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</si>
  <si>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</si>
  <si>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</si>
  <si>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</si>
  <si>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</si>
  <si>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</si>
  <si>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</si>
  <si>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</si>
  <si>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</si>
  <si>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</si>
  <si>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</si>
  <si>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</si>
  <si>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</si>
  <si>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</si>
  <si>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</si>
  <si>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</si>
  <si>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</si>
  <si>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</si>
  <si>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</si>
  <si>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</si>
  <si>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</si>
  <si>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</si>
  <si>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</si>
  <si>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</si>
  <si>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</si>
  <si>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</si>
  <si>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</si>
  <si>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</si>
  <si>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</si>
  <si>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</si>
  <si>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</si>
  <si>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</si>
  <si>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</si>
  <si>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</si>
  <si>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</si>
  <si>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</si>
  <si>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</si>
  <si>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</si>
  <si>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</si>
  <si>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</si>
  <si>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</si>
  <si>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</si>
  <si>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</si>
  <si>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</si>
  <si>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</si>
  <si>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</si>
  <si>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</si>
  <si>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</si>
  <si>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</si>
  <si>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</si>
  <si>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</si>
  <si>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</si>
  <si>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</si>
  <si>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</si>
  <si>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</si>
  <si>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</si>
  <si>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</si>
  <si>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</si>
  <si>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</si>
  <si>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</si>
  <si>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</si>
  <si>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</si>
  <si>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</si>
  <si>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</si>
  <si>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</si>
  <si>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</si>
  <si>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</si>
  <si>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</si>
  <si>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</si>
  <si>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</si>
  <si>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</si>
  <si>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</si>
  <si>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</si>
  <si>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</si>
  <si>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</si>
  <si>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</si>
  <si>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</si>
  <si>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</si>
  <si>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</si>
  <si>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</si>
  <si>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</si>
  <si>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</si>
  <si>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</si>
  <si>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</si>
  <si>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</si>
  <si>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</si>
  <si>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</si>
  <si>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</si>
  <si>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</si>
  <si>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</si>
  <si>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</si>
  <si>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</si>
  <si>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</si>
  <si>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</si>
  <si>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중앙선거관리위원회 청사 증축공사</t>
    <phoneticPr fontId="2" type="noConversion"/>
  </si>
  <si>
    <t>업무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</si>
  <si>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</si>
  <si>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</si>
  <si>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</si>
  <si>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공조배관공사,우수처리시설공사,기타공사</t>
    <phoneticPr fontId="2" type="noConversion"/>
  </si>
  <si>
    <t>CATV 및 TV 설비공사</t>
    <phoneticPr fontId="2" type="noConversion"/>
  </si>
  <si>
    <t>CCTV설비공사</t>
    <phoneticPr fontId="2" type="noConversion"/>
  </si>
  <si>
    <t>우수공사,오수공사</t>
    <phoneticPr fontId="2" type="noConversion"/>
  </si>
  <si>
    <t>사급자재비,기타공사</t>
    <phoneticPr fontId="2" type="noConversion"/>
  </si>
  <si>
    <t>포장공사</t>
    <phoneticPr fontId="2" type="noConversion"/>
  </si>
  <si>
    <t>기초공사,해체및철거공사,골재비및운반비,작업부산물,기타공사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</si>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</sst>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6030.4</v>
      </c>
      <c r="D7" s="36">
        <f>+C7/3.3058</f>
        <v>1824.1877911549398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994410</v>
      </c>
      <c r="E25" s="59">
        <f t="shared" si="0"/>
        <v>3287320</v>
      </c>
    </row>
    <row r="26" spans="1:5" x14ac:dyDescent="0.3">
      <c r="B26" s="2">
        <v>3</v>
      </c>
      <c r="C26" s="35" t="s">
        <v>95</v>
      </c>
      <c r="D26" s="45">
        <f>+D66</f>
        <v>27180</v>
      </c>
      <c r="E26" s="59">
        <f t="shared" si="0"/>
        <v>89850</v>
      </c>
    </row>
    <row r="27" spans="1:5" x14ac:dyDescent="0.3">
      <c r="B27" s="2">
        <v>4</v>
      </c>
      <c r="C27" s="35" t="s">
        <v>96</v>
      </c>
      <c r="D27" s="45">
        <f>+D95</f>
        <v>47780</v>
      </c>
      <c r="E27" s="59">
        <f t="shared" si="0"/>
        <v>157950</v>
      </c>
    </row>
    <row r="28" spans="1:5" x14ac:dyDescent="0.3">
      <c r="B28" s="2">
        <v>5</v>
      </c>
      <c r="C28" s="35" t="s">
        <v>97</v>
      </c>
      <c r="D28" s="45">
        <f>+D119</f>
        <v>242150</v>
      </c>
      <c r="E28" s="59">
        <f t="shared" si="0"/>
        <v>800490</v>
      </c>
    </row>
    <row r="29" spans="1:5" x14ac:dyDescent="0.3">
      <c r="B29" s="2">
        <v>6</v>
      </c>
      <c r="C29" s="35" t="s">
        <v>98</v>
      </c>
      <c r="D29" s="45">
        <f>+D133</f>
        <v>72850</v>
      </c>
      <c r="E29" s="59">
        <f t="shared" si="0"/>
        <v>240820</v>
      </c>
    </row>
    <row r="30" spans="1:5" x14ac:dyDescent="0.3">
      <c r="B30" s="2">
        <v>7</v>
      </c>
      <c r="C30" s="35" t="s">
        <v>99</v>
      </c>
      <c r="D30" s="45">
        <f>+D146</f>
        <v>31500</v>
      </c>
      <c r="E30" s="59">
        <f t="shared" si="0"/>
        <v>104130</v>
      </c>
    </row>
    <row r="31" spans="1:5" x14ac:dyDescent="0.3">
      <c r="B31" s="2">
        <v>8</v>
      </c>
      <c r="C31" s="35" t="s">
        <v>100</v>
      </c>
      <c r="D31" s="45">
        <f>+D154</f>
        <v>29380</v>
      </c>
      <c r="E31" s="59">
        <f t="shared" si="0"/>
        <v>97120</v>
      </c>
    </row>
    <row r="32" spans="1:5" x14ac:dyDescent="0.3">
      <c r="B32" s="2">
        <v>9</v>
      </c>
      <c r="C32" s="35" t="s">
        <v>101</v>
      </c>
      <c r="D32" s="45">
        <f>+D161</f>
        <v>16890</v>
      </c>
      <c r="E32" s="59">
        <f t="shared" si="0"/>
        <v>55830</v>
      </c>
    </row>
    <row r="33" spans="1:7" x14ac:dyDescent="0.3">
      <c r="B33" s="2">
        <v>10</v>
      </c>
      <c r="C33" s="35" t="s">
        <v>154</v>
      </c>
      <c r="D33" s="53">
        <f>TRUNC(SUM(D24:D32)*0.275,-1)</f>
        <v>402080</v>
      </c>
      <c r="E33" s="60">
        <f t="shared" si="0"/>
        <v>1329190</v>
      </c>
    </row>
    <row r="34" spans="1:7" x14ac:dyDescent="0.3">
      <c r="C34" s="35" t="s">
        <v>112</v>
      </c>
      <c r="D34" s="44">
        <f>SUM(D24:D33)</f>
        <v>1864220</v>
      </c>
      <c r="E34" s="44">
        <f>SUM(E24:E33)</f>
        <v>6162700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243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TRUNC(65514,-1)</f>
        <v>65510</v>
      </c>
      <c r="E40" s="62">
        <f t="shared" ref="E40:E59" si="1">TRUNC(+D40*3.3058,-1)</f>
        <v>216560</v>
      </c>
    </row>
    <row r="41" spans="1:7" x14ac:dyDescent="0.3">
      <c r="A41" s="2">
        <v>2</v>
      </c>
      <c r="C41" s="38" t="s">
        <v>13</v>
      </c>
      <c r="D41" s="42">
        <f>TRUNC(175787,-1)</f>
        <v>175780</v>
      </c>
      <c r="E41" s="63">
        <f t="shared" si="1"/>
        <v>581090</v>
      </c>
    </row>
    <row r="42" spans="1:7" x14ac:dyDescent="0.3">
      <c r="A42" s="2">
        <v>3</v>
      </c>
      <c r="C42" s="38" t="s">
        <v>14</v>
      </c>
      <c r="D42" s="42">
        <f>TRUNC(6509,-1)</f>
        <v>6500</v>
      </c>
      <c r="E42" s="63">
        <f t="shared" si="1"/>
        <v>21480</v>
      </c>
    </row>
    <row r="43" spans="1:7" x14ac:dyDescent="0.3">
      <c r="A43" s="2">
        <v>4</v>
      </c>
      <c r="C43" s="38" t="s">
        <v>16</v>
      </c>
      <c r="D43" s="42">
        <f>TRUNC(9887,-1)</f>
        <v>9880</v>
      </c>
      <c r="E43" s="63">
        <f t="shared" si="1"/>
        <v>32660</v>
      </c>
    </row>
    <row r="44" spans="1:7" x14ac:dyDescent="0.3">
      <c r="A44" s="2">
        <v>5</v>
      </c>
      <c r="C44" s="38" t="s">
        <v>17</v>
      </c>
      <c r="D44" s="42">
        <f>TRUNC(20847,-1)</f>
        <v>20840</v>
      </c>
      <c r="E44" s="63">
        <f t="shared" si="1"/>
        <v>68890</v>
      </c>
    </row>
    <row r="45" spans="1:7" x14ac:dyDescent="0.3">
      <c r="A45" s="2">
        <v>6</v>
      </c>
      <c r="C45" s="38" t="s">
        <v>18</v>
      </c>
      <c r="D45" s="42">
        <f>TRUNC(6881,-1)</f>
        <v>6880</v>
      </c>
      <c r="E45" s="63">
        <f t="shared" si="1"/>
        <v>22740</v>
      </c>
    </row>
    <row r="46" spans="1:7" x14ac:dyDescent="0.3">
      <c r="A46" s="2">
        <v>7</v>
      </c>
      <c r="C46" s="38" t="s">
        <v>19</v>
      </c>
      <c r="D46" s="42">
        <f>TRUNC(16293,-1)</f>
        <v>16290</v>
      </c>
      <c r="E46" s="63">
        <f t="shared" si="1"/>
        <v>53850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TRUNC(44171,-1)</f>
        <v>44170</v>
      </c>
      <c r="E48" s="63">
        <f t="shared" si="1"/>
        <v>146010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TRUNC(17221,-1)</f>
        <v>17220</v>
      </c>
      <c r="E49" s="63">
        <f t="shared" si="1"/>
        <v>56920</v>
      </c>
    </row>
    <row r="50" spans="1:7" x14ac:dyDescent="0.3">
      <c r="A50" s="2">
        <v>11</v>
      </c>
      <c r="C50" s="38" t="s">
        <v>155</v>
      </c>
      <c r="D50" s="42">
        <f>TRUNC(42318,-1)</f>
        <v>42310</v>
      </c>
      <c r="E50" s="63">
        <f t="shared" si="1"/>
        <v>139860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TRUNC(18830,-1)</f>
        <v>18830</v>
      </c>
      <c r="E52" s="63">
        <f t="shared" si="1"/>
        <v>62240</v>
      </c>
    </row>
    <row r="53" spans="1:7" x14ac:dyDescent="0.3">
      <c r="A53" s="2">
        <v>14</v>
      </c>
      <c r="C53" s="38" t="s">
        <v>25</v>
      </c>
      <c r="D53" s="42">
        <f>TRUNC(99627,-1)</f>
        <v>99620</v>
      </c>
      <c r="E53" s="63">
        <f t="shared" si="1"/>
        <v>329320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TRUNC(33379+6392+3044-1266+447,-1)</f>
        <v>41990</v>
      </c>
      <c r="E58" s="63">
        <f t="shared" si="1"/>
        <v>138810</v>
      </c>
      <c r="F58" s="2" t="s">
        <v>260</v>
      </c>
    </row>
    <row r="59" spans="1:7" ht="17.25" thickBot="1" x14ac:dyDescent="0.35">
      <c r="A59" s="2">
        <v>20</v>
      </c>
      <c r="C59" s="38" t="s">
        <v>148</v>
      </c>
      <c r="D59" s="43">
        <f>TRUNC(428595,-1)</f>
        <v>428590</v>
      </c>
      <c r="E59" s="64">
        <f t="shared" si="1"/>
        <v>1416830</v>
      </c>
    </row>
    <row r="60" spans="1:7" x14ac:dyDescent="0.3">
      <c r="A60" s="2">
        <v>21</v>
      </c>
      <c r="C60" s="27" t="s">
        <v>112</v>
      </c>
      <c r="D60" s="39">
        <f>SUM(D40:D59)</f>
        <v>994410</v>
      </c>
      <c r="E60" s="39">
        <f>SUM(E40:E59)</f>
        <v>3287260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TRUNC(14264,-1)</f>
        <v>14260</v>
      </c>
      <c r="E63" s="62">
        <f>TRUNC(+D63*3.3058,-1)</f>
        <v>47140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TRUNC(12927,-1)</f>
        <v>12920</v>
      </c>
      <c r="E65" s="64">
        <f>TRUNC(+D65*3.3058,-1)</f>
        <v>42710</v>
      </c>
    </row>
    <row r="66" spans="1:7" x14ac:dyDescent="0.3">
      <c r="A66" s="2">
        <v>4</v>
      </c>
      <c r="C66" s="27" t="s">
        <v>112</v>
      </c>
      <c r="D66" s="39">
        <f>SUM(D63:D65)</f>
        <v>27180</v>
      </c>
      <c r="E66" s="65">
        <f>SUM(E63:E65)</f>
        <v>89850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TRUNC(4708,-1)</f>
        <v>4700</v>
      </c>
      <c r="E69" s="62">
        <f t="shared" ref="E69:E94" si="2">TRUNC(+D69*3.3058,-1)</f>
        <v>15530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TRUNC(3909,-1)</f>
        <v>3900</v>
      </c>
      <c r="E71" s="63">
        <f t="shared" si="2"/>
        <v>12890</v>
      </c>
    </row>
    <row r="72" spans="1:7" x14ac:dyDescent="0.3">
      <c r="A72" s="2">
        <v>4</v>
      </c>
      <c r="C72" s="38" t="s">
        <v>33</v>
      </c>
      <c r="D72" s="42">
        <f>TRUNC(5322,-1)</f>
        <v>5320</v>
      </c>
      <c r="E72" s="63">
        <f t="shared" si="2"/>
        <v>17580</v>
      </c>
    </row>
    <row r="73" spans="1:7" x14ac:dyDescent="0.3">
      <c r="A73" s="2">
        <v>5</v>
      </c>
      <c r="C73" s="38" t="s">
        <v>34</v>
      </c>
      <c r="D73" s="42">
        <f>TRUNC(5751,-1)</f>
        <v>5750</v>
      </c>
      <c r="E73" s="63">
        <f t="shared" si="2"/>
        <v>19000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TRUNC(5984,-1)</f>
        <v>5980</v>
      </c>
      <c r="E89" s="63">
        <f t="shared" si="2"/>
        <v>19760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TRUNC(14520,-1)</f>
        <v>14520</v>
      </c>
      <c r="E91" s="63">
        <f t="shared" si="2"/>
        <v>48000</v>
      </c>
    </row>
    <row r="92" spans="1:7" x14ac:dyDescent="0.3">
      <c r="A92" s="2">
        <v>24</v>
      </c>
      <c r="C92" s="38" t="s">
        <v>38</v>
      </c>
      <c r="D92" s="42">
        <f>TRUNC(3151,-1)</f>
        <v>3150</v>
      </c>
      <c r="E92" s="63">
        <f t="shared" si="2"/>
        <v>10410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TRUNC(3369+974+117,-1)</f>
        <v>4460</v>
      </c>
      <c r="E94" s="64">
        <f t="shared" si="2"/>
        <v>14740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47780</v>
      </c>
      <c r="E95" s="39">
        <f>SUM(E69:E94)</f>
        <v>157910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TRUNC(52395,-1)</f>
        <v>52390</v>
      </c>
      <c r="E98" s="62">
        <f t="shared" ref="E98:E118" si="3">TRUNC(+D98*3.3058,-1)</f>
        <v>173190</v>
      </c>
    </row>
    <row r="99" spans="1:7" x14ac:dyDescent="0.3">
      <c r="A99" s="2">
        <v>2</v>
      </c>
      <c r="C99" s="38" t="s">
        <v>40</v>
      </c>
      <c r="D99" s="42">
        <f>TRUNC(8479,-1)</f>
        <v>8470</v>
      </c>
      <c r="E99" s="63">
        <f t="shared" si="3"/>
        <v>28000</v>
      </c>
    </row>
    <row r="100" spans="1:7" x14ac:dyDescent="0.3">
      <c r="A100" s="2">
        <v>3</v>
      </c>
      <c r="C100" s="38" t="s">
        <v>41</v>
      </c>
      <c r="D100" s="42">
        <f>TRUNC(32568,-1)</f>
        <v>32560</v>
      </c>
      <c r="E100" s="63">
        <f t="shared" si="3"/>
        <v>107630</v>
      </c>
    </row>
    <row r="101" spans="1:7" x14ac:dyDescent="0.3">
      <c r="A101" s="2">
        <v>4</v>
      </c>
      <c r="C101" s="38" t="s">
        <v>42</v>
      </c>
      <c r="D101" s="42">
        <f>TRUNC(5700,-1)</f>
        <v>5700</v>
      </c>
      <c r="E101" s="63">
        <f t="shared" si="3"/>
        <v>18840</v>
      </c>
    </row>
    <row r="102" spans="1:7" x14ac:dyDescent="0.3">
      <c r="A102" s="2">
        <v>5</v>
      </c>
      <c r="C102" s="38" t="s">
        <v>43</v>
      </c>
      <c r="D102" s="42">
        <f>TRUNC(12821,-1)</f>
        <v>12820</v>
      </c>
      <c r="E102" s="63">
        <f t="shared" si="3"/>
        <v>42380</v>
      </c>
    </row>
    <row r="103" spans="1:7" x14ac:dyDescent="0.3">
      <c r="A103" s="2">
        <v>6</v>
      </c>
      <c r="C103" s="38" t="s">
        <v>44</v>
      </c>
      <c r="D103" s="42">
        <f>TRUNC(3175,-1)</f>
        <v>3170</v>
      </c>
      <c r="E103" s="63">
        <f t="shared" si="3"/>
        <v>10470</v>
      </c>
    </row>
    <row r="104" spans="1:7" x14ac:dyDescent="0.3">
      <c r="A104" s="2">
        <v>7</v>
      </c>
      <c r="C104" s="38" t="s">
        <v>45</v>
      </c>
      <c r="D104" s="42">
        <f>TRUNC(3989,-1)</f>
        <v>3980</v>
      </c>
      <c r="E104" s="63">
        <f t="shared" si="3"/>
        <v>13150</v>
      </c>
    </row>
    <row r="105" spans="1:7" x14ac:dyDescent="0.3">
      <c r="A105" s="2">
        <v>8</v>
      </c>
      <c r="C105" s="38" t="s">
        <v>46</v>
      </c>
      <c r="D105" s="42">
        <f>TRUNC(5034,-1)</f>
        <v>5030</v>
      </c>
      <c r="E105" s="63">
        <f t="shared" si="3"/>
        <v>16620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TRUNC(2245,-1)</f>
        <v>2240</v>
      </c>
      <c r="E114" s="63">
        <f t="shared" si="3"/>
        <v>7400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TRUNC(115794,-1)</f>
        <v>115790</v>
      </c>
      <c r="E117" s="63">
        <f t="shared" si="3"/>
        <v>382770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242150</v>
      </c>
      <c r="E119" s="39">
        <f>SUM(E98:E118)</f>
        <v>800450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TRUNC(2773,-1)</f>
        <v>2770</v>
      </c>
      <c r="E122" s="62">
        <f t="shared" ref="E122:E132" si="4">TRUNC(+D122*3.3058,-1)</f>
        <v>9150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TRUNC(3882,-1)</f>
        <v>3880</v>
      </c>
      <c r="E124" s="63">
        <f t="shared" si="4"/>
        <v>12820</v>
      </c>
    </row>
    <row r="125" spans="1:7" x14ac:dyDescent="0.3">
      <c r="A125" s="2">
        <v>4</v>
      </c>
      <c r="C125" s="38" t="s">
        <v>138</v>
      </c>
      <c r="D125" s="42">
        <f>TRUNC(5154,-1)</f>
        <v>5150</v>
      </c>
      <c r="E125" s="63">
        <f t="shared" si="4"/>
        <v>17020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TRUNC(7405,-1)</f>
        <v>7400</v>
      </c>
      <c r="E128" s="63">
        <f t="shared" si="4"/>
        <v>24460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TRUNC(44764,-1)</f>
        <v>44760</v>
      </c>
      <c r="E130" s="63">
        <f t="shared" si="4"/>
        <v>147960</v>
      </c>
    </row>
    <row r="131" spans="1:7" x14ac:dyDescent="0.3">
      <c r="A131" s="2">
        <v>10</v>
      </c>
      <c r="C131" s="38" t="s">
        <v>148</v>
      </c>
      <c r="D131" s="42">
        <f>TRUNC(8070,-1)</f>
        <v>8070</v>
      </c>
      <c r="E131" s="63">
        <f t="shared" si="4"/>
        <v>26670</v>
      </c>
    </row>
    <row r="132" spans="1:7" ht="18" thickBot="1" x14ac:dyDescent="0.35">
      <c r="A132" s="2">
        <v>11</v>
      </c>
      <c r="C132" s="38" t="s">
        <v>47</v>
      </c>
      <c r="D132" s="43">
        <f>TRUNC(829,-1)</f>
        <v>820</v>
      </c>
      <c r="E132" s="64">
        <f t="shared" si="4"/>
        <v>2710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72850</v>
      </c>
      <c r="E133" s="39">
        <f>SUM(E122:E132)</f>
        <v>240790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TRUNC(9314,-1)</f>
        <v>9310</v>
      </c>
      <c r="E142" s="63">
        <f t="shared" si="5"/>
        <v>30770</v>
      </c>
    </row>
    <row r="143" spans="1:7" x14ac:dyDescent="0.3">
      <c r="A143" s="2">
        <v>8</v>
      </c>
      <c r="C143" s="38" t="s">
        <v>62</v>
      </c>
      <c r="D143" s="42">
        <f>TRUNC(3278,-1)</f>
        <v>3270</v>
      </c>
      <c r="E143" s="63">
        <f t="shared" si="5"/>
        <v>10800</v>
      </c>
    </row>
    <row r="144" spans="1:7" x14ac:dyDescent="0.3">
      <c r="A144" s="2">
        <v>9</v>
      </c>
      <c r="C144" s="38" t="s">
        <v>63</v>
      </c>
      <c r="D144" s="42">
        <f>TRUNC(17262,-1)</f>
        <v>17260</v>
      </c>
      <c r="E144" s="63">
        <f t="shared" si="5"/>
        <v>57050</v>
      </c>
    </row>
    <row r="145" spans="1:7" ht="17.25" thickBot="1" x14ac:dyDescent="0.35">
      <c r="A145" s="2">
        <v>10</v>
      </c>
      <c r="C145" s="38" t="s">
        <v>148</v>
      </c>
      <c r="D145" s="43">
        <f>TRUNC(1664,-1)</f>
        <v>1660</v>
      </c>
      <c r="E145" s="64">
        <f t="shared" si="5"/>
        <v>5480</v>
      </c>
    </row>
    <row r="146" spans="1:7" x14ac:dyDescent="0.3">
      <c r="A146" s="2">
        <v>11</v>
      </c>
      <c r="C146" s="27" t="s">
        <v>112</v>
      </c>
      <c r="D146" s="39">
        <f>SUM(D136:D145)</f>
        <v>31500</v>
      </c>
      <c r="E146" s="39">
        <f>SUM(E136:E145)</f>
        <v>104100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TRUNC(4302+473,-1)</f>
        <v>4770</v>
      </c>
      <c r="E149" s="62">
        <f>TRUNC(+D149*3.3058,-1)</f>
        <v>15760</v>
      </c>
      <c r="F149" s="2" t="s">
        <v>257</v>
      </c>
    </row>
    <row r="150" spans="1:7" x14ac:dyDescent="0.3">
      <c r="A150" s="2">
        <v>2</v>
      </c>
      <c r="C150" s="38" t="s">
        <v>49</v>
      </c>
      <c r="D150" s="42">
        <f>TRUNC(7883,-1)</f>
        <v>7880</v>
      </c>
      <c r="E150" s="63">
        <f>TRUNC(+D150*3.3058,-1)</f>
        <v>26040</v>
      </c>
    </row>
    <row r="151" spans="1:7" x14ac:dyDescent="0.3">
      <c r="A151" s="2">
        <v>3</v>
      </c>
      <c r="C151" s="38" t="s">
        <v>50</v>
      </c>
      <c r="D151" s="42">
        <f>TRUNC(6729,-1)</f>
        <v>6720</v>
      </c>
      <c r="E151" s="63">
        <f>TRUNC(+D151*3.3058,-1)</f>
        <v>22210</v>
      </c>
    </row>
    <row r="152" spans="1:7" x14ac:dyDescent="0.3">
      <c r="A152" s="2">
        <v>4</v>
      </c>
      <c r="C152" s="38" t="s">
        <v>47</v>
      </c>
      <c r="D152" s="42">
        <f>TRUNC(3244+6771,-1)</f>
        <v>10010</v>
      </c>
      <c r="E152" s="63">
        <f>TRUNC(+D152*3.3058,-1)</f>
        <v>33090</v>
      </c>
      <c r="F152" s="2" t="s">
        <v>258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29380</v>
      </c>
      <c r="E154" s="39">
        <f>SUM(E149:E153)</f>
        <v>97100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TRUNC(9562,-1)</f>
        <v>9560</v>
      </c>
      <c r="E157" s="62">
        <f>TRUNC(+D157*3.3058,-1)</f>
        <v>31600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TRUNC(7333,-1)</f>
        <v>7330</v>
      </c>
      <c r="E159" s="63">
        <f>TRUNC(+D159*3.3058,-1)</f>
        <v>24230</v>
      </c>
      <c r="F159" s="2" t="s">
        <v>259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16890</v>
      </c>
      <c r="E161" s="39">
        <f>SUM(E157:E160)</f>
        <v>55830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2020-12-08T02:22:40Z</dcterms:modified>
</cp:coreProperties>
</file>