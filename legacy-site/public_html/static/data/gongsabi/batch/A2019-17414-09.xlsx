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1" i="4"/>
  <c r="D150" i="4"/>
  <c r="D149" i="4"/>
  <c r="D144" i="4"/>
  <c r="D143" i="4"/>
  <c r="D142" i="4"/>
  <c r="D132" i="4"/>
  <c r="D131" i="4"/>
  <c r="D130" i="4"/>
  <c r="D128" i="4"/>
  <c r="D125" i="4"/>
  <c r="D116" i="4"/>
  <c r="D105" i="4"/>
  <c r="D104" i="4"/>
  <c r="D102" i="4"/>
  <c r="D100" i="4"/>
  <c r="D99" i="4"/>
  <c r="D98" i="4"/>
  <c r="D93" i="4"/>
  <c r="D71" i="4"/>
  <c r="D70" i="4"/>
  <c r="D69" i="4"/>
  <c r="D63" i="4"/>
  <c r="D59" i="4"/>
  <c r="D58" i="4"/>
  <c r="D53" i="4"/>
  <c r="D52" i="4"/>
  <c r="D50" i="4"/>
  <c r="D49" i="4"/>
  <c r="D46" i="4"/>
  <c r="D44" i="4"/>
  <c r="D43" i="4"/>
  <c r="D42" i="4"/>
  <c r="D41" i="4"/>
  <c r="D40" i="4"/>
  <c r="D152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<sst xmlns="http://schemas.openxmlformats.org/spreadsheetml/2006/main" count="391" uniqueCount="265">
  <si>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</si>
  <si>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</si>
  <si>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</si>
  <si>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</si>
  <si>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</si>
  <si>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</si>
  <si>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</si>
  <si>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</si>
  <si>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</si>
  <si>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</si>
  <si>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</si>
  <si>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</si>
  <si>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</si>
  <si>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</si>
  <si>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</si>
  <si>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</si>
  <si>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</si>
  <si>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</si>
  <si>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</si>
  <si>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</si>
  <si>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</si>
  <si>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</si>
  <si>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</si>
  <si>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</si>
  <si>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</si>
  <si>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</si>
  <si>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</si>
  <si>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</si>
  <si>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</si>
  <si>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</si>
  <si>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</si>
  <si>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</si>
  <si>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</si>
  <si>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</si>
  <si>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</si>
  <si>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</si>
  <si>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</si>
  <si>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</si>
  <si>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</si>
  <si>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</si>
  <si>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</si>
  <si>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</si>
  <si>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</si>
  <si>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</si>
  <si>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</si>
  <si>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</si>
  <si>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</si>
  <si>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</si>
  <si>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</si>
  <si>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</si>
  <si>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</si>
  <si>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</si>
  <si>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</si>
  <si>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</si>
  <si>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</si>
  <si>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</si>
  <si>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</si>
  <si>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</si>
  <si>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</si>
  <si>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</si>
  <si>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</si>
  <si>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</si>
  <si>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</si>
  <si>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</si>
  <si>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</si>
  <si>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</si>
  <si>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</si>
  <si>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</si>
  <si>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</si>
  <si>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</si>
  <si>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</si>
  <si>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</si>
  <si>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</si>
  <si>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</si>
  <si>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</si>
  <si>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</si>
  <si>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</si>
  <si>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</si>
  <si>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</si>
  <si>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</si>
  <si>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</si>
  <si>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</si>
  <si>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</si>
  <si>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</si>
  <si>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</si>
  <si>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</si>
  <si>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</si>
  <si>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</si>
  <si>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</si>
  <si>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</si>
  <si>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</si>
  <si>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</si>
  <si>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</si>
  <si>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</si>
  <si>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</si>
  <si>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</si>
  <si>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</si>
  <si>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</si>
  <si>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</si>
  <si>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</si>
  <si>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</si>
  <si>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</si>
  <si>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</si>
  <si>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</si>
  <si>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</si>
  <si>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</si>
  <si>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</si>
  <si>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</si>
  <si>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</si>
  <si>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</si>
  <si>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</si>
  <si>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</si>
  <si>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</si>
  <si>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</si>
  <si>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</si>
  <si>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</si>
  <si>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</si>
  <si>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</si>
  <si>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</si>
  <si>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</si>
  <si>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</si>
  <si>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</si>
  <si>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</si>
  <si>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</si>
  <si>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</si>
  <si>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</si>
  <si>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</si>
  <si>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</si>
  <si>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</si>
  <si>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</si>
  <si>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</si>
  <si>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</si>
  <si>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</si>
  <si>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</si>
  <si>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</si>
  <si>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</si>
  <si>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</si>
  <si>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</si>
  <si>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</si>
  <si>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</si>
  <si>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</si>
  <si>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</si>
  <si>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</si>
  <si>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</si>
  <si>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</si>
  <si>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</si>
  <si>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</si>
  <si>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</si>
  <si>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</si>
  <si>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</si>
  <si>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</si>
  <si>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</si>
  <si>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</si>
  <si>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</si>
  <si>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</si>
  <si>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</si>
  <si>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</si>
  <si>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</si>
  <si>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</si>
  <si>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</si>
  <si>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</si>
  <si>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</si>
  <si>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</si>
  <si>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</si>
  <si>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</si>
  <si>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</si>
  <si>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</si>
  <si>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</si>
  <si>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</si>
  <si>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</si>
  <si>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</si>
  <si>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</si>
  <si>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</si>
  <si>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</si>
  <si>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</si>
  <si>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</si>
  <si>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</si>
  <si>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</si>
  <si>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</si>
  <si>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</si>
  <si>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</si>
  <si>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</si>
  <si>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</si>
  <si>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</si>
  <si>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</si>
  <si>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</si>
  <si>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</si>
  <si>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</si>
  <si>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</si>
  <si>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</si>
  <si>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</si>
  <si>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</si>
  <si>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</si>
  <si>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</si>
  <si>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</si>
  <si>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</si>
  <si>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</si>
  <si>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</si>
  <si>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</si>
  <si>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</si>
  <si>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</si>
  <si>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</si>
  <si>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</si>
  <si>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</si>
  <si>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</si>
  <si>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</si>
  <si>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</si>
  <si>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</si>
  <si>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</si>
  <si>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</si>
  <si>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</si>
  <si>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</si>
  <si>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</si>
  <si>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</si>
  <si>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</si>
  <si>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</si>
  <si>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</si>
  <si>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</si>
  <si>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</si>
  <si>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</si>
  <si>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</si>
  <si>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</si>
  <si>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</si>
  <si>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</si>
  <si>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</si>
  <si>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</si>
  <si>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</si>
  <si>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</si>
  <si>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</si>
  <si>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</si>
  <si>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</si>
  <si>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</si>
  <si>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</si>
  <si>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</si>
  <si>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</si>
  <si>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</si>
  <si>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</si>
  <si>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</si>
  <si>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</si>
  <si>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</si>
  <si>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</si>
  <si>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</si>
  <si>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</si>
  <si>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</si>
  <si>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</si>
  <si>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</si>
  <si>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</si>
  <si>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</si>
  <si>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</si>
  <si>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제주목장 실내언덕주로 설치공사</t>
    <phoneticPr fontId="2" type="noConversion"/>
  </si>
  <si>
    <t>기타</t>
  </si>
  <si>
    <t>제주도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</si>
  <si>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</si>
  <si>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</si>
  <si>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</si>
  <si>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</t>
    <phoneticPr fontId="2" type="noConversion"/>
  </si>
  <si>
    <t>CCTV설비공사,기타공사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</si>
  <si>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</si>
  <si>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</si>
  <si>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</si>
  <si>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</si>
  <si>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 xml:space="preserve">전기인입 및 수변전 설비공사  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</si>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</sst>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14454.08</v>
      </c>
      <c r="D7" s="36">
        <f>+C7/3.3058</f>
        <v>4372.3395244721396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544950</v>
      </c>
      <c r="E25" s="59">
        <f t="shared" si="0"/>
        <v>1801490</v>
      </c>
    </row>
    <row r="26" spans="1:5" x14ac:dyDescent="0.3">
      <c r="B26" s="2">
        <v>3</v>
      </c>
      <c r="C26" s="35" t="s">
        <v>95</v>
      </c>
      <c r="D26" s="45">
        <f>+D66</f>
        <v>38170</v>
      </c>
      <c r="E26" s="59">
        <f t="shared" si="0"/>
        <v>126180</v>
      </c>
    </row>
    <row r="27" spans="1:5" x14ac:dyDescent="0.3">
      <c r="B27" s="2">
        <v>4</v>
      </c>
      <c r="C27" s="35" t="s">
        <v>96</v>
      </c>
      <c r="D27" s="45">
        <f>+D95</f>
        <v>22610</v>
      </c>
      <c r="E27" s="59">
        <f t="shared" si="0"/>
        <v>74740</v>
      </c>
    </row>
    <row r="28" spans="1:5" x14ac:dyDescent="0.3">
      <c r="B28" s="2">
        <v>5</v>
      </c>
      <c r="C28" s="35" t="s">
        <v>97</v>
      </c>
      <c r="D28" s="45">
        <f>+D119</f>
        <v>52660</v>
      </c>
      <c r="E28" s="59">
        <f t="shared" si="0"/>
        <v>174080</v>
      </c>
    </row>
    <row r="29" spans="1:5" x14ac:dyDescent="0.3">
      <c r="B29" s="2">
        <v>6</v>
      </c>
      <c r="C29" s="35" t="s">
        <v>98</v>
      </c>
      <c r="D29" s="45">
        <f>+D133</f>
        <v>35240</v>
      </c>
      <c r="E29" s="59">
        <f t="shared" si="0"/>
        <v>116490</v>
      </c>
    </row>
    <row r="30" spans="1:5" x14ac:dyDescent="0.3">
      <c r="B30" s="2">
        <v>7</v>
      </c>
      <c r="C30" s="35" t="s">
        <v>99</v>
      </c>
      <c r="D30" s="45">
        <f>+D146</f>
        <v>29670</v>
      </c>
      <c r="E30" s="59">
        <f t="shared" si="0"/>
        <v>98080</v>
      </c>
    </row>
    <row r="31" spans="1:5" x14ac:dyDescent="0.3">
      <c r="B31" s="2">
        <v>8</v>
      </c>
      <c r="C31" s="35" t="s">
        <v>100</v>
      </c>
      <c r="D31" s="45">
        <f>+D154</f>
        <v>266480</v>
      </c>
      <c r="E31" s="59">
        <f t="shared" si="0"/>
        <v>880920</v>
      </c>
    </row>
    <row r="32" spans="1:5" x14ac:dyDescent="0.3">
      <c r="B32" s="2">
        <v>9</v>
      </c>
      <c r="C32" s="35" t="s">
        <v>101</v>
      </c>
      <c r="D32" s="45">
        <f>+D161</f>
        <v>10750</v>
      </c>
      <c r="E32" s="59">
        <f t="shared" si="0"/>
        <v>35530</v>
      </c>
    </row>
    <row r="33" spans="1:7" x14ac:dyDescent="0.3">
      <c r="B33" s="2">
        <v>10</v>
      </c>
      <c r="C33" s="35" t="s">
        <v>155</v>
      </c>
      <c r="D33" s="53">
        <f>TRUNC(SUM(D24:D32)*0.275,-1)</f>
        <v>275140</v>
      </c>
      <c r="E33" s="60">
        <f t="shared" si="0"/>
        <v>909550</v>
      </c>
    </row>
    <row r="34" spans="1:7" x14ac:dyDescent="0.3">
      <c r="C34" s="35" t="s">
        <v>112</v>
      </c>
      <c r="D34" s="44">
        <f>SUM(D24:D33)</f>
        <v>1275670</v>
      </c>
      <c r="E34" s="44">
        <f>SUM(E24:E33)</f>
        <v>4217060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TRUNC(19767,-1)</f>
        <v>19760</v>
      </c>
      <c r="E40" s="62">
        <f t="shared" ref="E40:E59" si="1">TRUNC(+D40*3.3058,-1)</f>
        <v>65320</v>
      </c>
    </row>
    <row r="41" spans="1:7" x14ac:dyDescent="0.3">
      <c r="A41" s="2">
        <v>2</v>
      </c>
      <c r="C41" s="38" t="s">
        <v>13</v>
      </c>
      <c r="D41" s="42">
        <f>TRUNC(56766,-1)</f>
        <v>56760</v>
      </c>
      <c r="E41" s="63">
        <f t="shared" si="1"/>
        <v>187630</v>
      </c>
    </row>
    <row r="42" spans="1:7" x14ac:dyDescent="0.3">
      <c r="A42" s="2">
        <v>3</v>
      </c>
      <c r="C42" s="38" t="s">
        <v>14</v>
      </c>
      <c r="D42" s="42">
        <f>TRUNC(139006,-1)</f>
        <v>139000</v>
      </c>
      <c r="E42" s="63">
        <f t="shared" si="1"/>
        <v>459500</v>
      </c>
    </row>
    <row r="43" spans="1:7" x14ac:dyDescent="0.3">
      <c r="A43" s="2">
        <v>4</v>
      </c>
      <c r="C43" s="38" t="s">
        <v>16</v>
      </c>
      <c r="D43" s="42">
        <f>TRUNC(172,-1)</f>
        <v>170</v>
      </c>
      <c r="E43" s="63">
        <f t="shared" si="1"/>
        <v>560</v>
      </c>
    </row>
    <row r="44" spans="1:7" x14ac:dyDescent="0.3">
      <c r="A44" s="2">
        <v>5</v>
      </c>
      <c r="C44" s="38" t="s">
        <v>17</v>
      </c>
      <c r="D44" s="42">
        <f>TRUNC(3597,-1)</f>
        <v>3590</v>
      </c>
      <c r="E44" s="63">
        <f t="shared" si="1"/>
        <v>11860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TRUNC(9123,-1)</f>
        <v>9120</v>
      </c>
      <c r="E46" s="63">
        <f t="shared" si="1"/>
        <v>30140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32260</v>
      </c>
      <c r="E48" s="63">
        <f t="shared" si="1"/>
        <v>106640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TRUNC(1646,-1)</f>
        <v>1640</v>
      </c>
      <c r="E49" s="63">
        <f t="shared" si="1"/>
        <v>5420</v>
      </c>
    </row>
    <row r="50" spans="1:7" x14ac:dyDescent="0.3">
      <c r="A50" s="2">
        <v>11</v>
      </c>
      <c r="C50" s="38" t="s">
        <v>156</v>
      </c>
      <c r="D50" s="42">
        <f>TRUNC(9571,-1)</f>
        <v>9570</v>
      </c>
      <c r="E50" s="63">
        <f t="shared" si="1"/>
        <v>31630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TRUNC(1026,-1)</f>
        <v>1020</v>
      </c>
      <c r="E52" s="63">
        <f t="shared" si="1"/>
        <v>3370</v>
      </c>
    </row>
    <row r="53" spans="1:7" x14ac:dyDescent="0.3">
      <c r="A53" s="2">
        <v>14</v>
      </c>
      <c r="C53" s="38" t="s">
        <v>25</v>
      </c>
      <c r="D53" s="42">
        <f>TRUNC(22682,-1)</f>
        <v>22680</v>
      </c>
      <c r="E53" s="63">
        <f t="shared" si="1"/>
        <v>74970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TRUNC(10596+2330+268,-1)</f>
        <v>13190</v>
      </c>
      <c r="E58" s="63">
        <f t="shared" si="1"/>
        <v>43600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TRUNC(236196,-1)</f>
        <v>236190</v>
      </c>
      <c r="E59" s="64">
        <f t="shared" si="1"/>
        <v>780790</v>
      </c>
    </row>
    <row r="60" spans="1:7" x14ac:dyDescent="0.3">
      <c r="A60" s="2">
        <v>21</v>
      </c>
      <c r="C60" s="27" t="s">
        <v>112</v>
      </c>
      <c r="D60" s="39">
        <f>SUM(D40:D59)</f>
        <v>544950</v>
      </c>
      <c r="E60" s="39">
        <f>SUM(E40:E59)</f>
        <v>1801430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TRUNC(38179,-1)</f>
        <v>38170</v>
      </c>
      <c r="E63" s="62">
        <f>TRUNC(+D63*3.3058,-1)</f>
        <v>126180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38170</v>
      </c>
      <c r="E66" s="65">
        <f>SUM(E63:E65)</f>
        <v>126180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TRUNC(2431,-1)</f>
        <v>2430</v>
      </c>
      <c r="E69" s="62">
        <f t="shared" ref="E69:E94" si="2">TRUNC(+D69*3.3058,-1)</f>
        <v>8030</v>
      </c>
    </row>
    <row r="70" spans="1:7" ht="16.5" customHeight="1" x14ac:dyDescent="0.3">
      <c r="A70" s="2">
        <v>2</v>
      </c>
      <c r="C70" s="38" t="s">
        <v>31</v>
      </c>
      <c r="D70" s="42">
        <f>TRUNC(975,-1)</f>
        <v>970</v>
      </c>
      <c r="E70" s="63">
        <f t="shared" si="2"/>
        <v>3200</v>
      </c>
    </row>
    <row r="71" spans="1:7" x14ac:dyDescent="0.3">
      <c r="A71" s="2">
        <v>3</v>
      </c>
      <c r="C71" s="38" t="s">
        <v>32</v>
      </c>
      <c r="D71" s="42">
        <f>TRUNC(14824,-1)</f>
        <v>14820</v>
      </c>
      <c r="E71" s="63">
        <f t="shared" si="2"/>
        <v>48990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TRUNC(4395,-1)</f>
        <v>4390</v>
      </c>
      <c r="E93" s="63">
        <f t="shared" si="2"/>
        <v>14510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22610</v>
      </c>
      <c r="E95" s="39">
        <f>SUM(E69:E94)</f>
        <v>74730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TRUNC(10274,-1)</f>
        <v>10270</v>
      </c>
      <c r="E98" s="62">
        <f t="shared" ref="E98:E118" si="3">TRUNC(+D98*3.3058,-1)</f>
        <v>33950</v>
      </c>
    </row>
    <row r="99" spans="1:7" x14ac:dyDescent="0.3">
      <c r="A99" s="2">
        <v>2</v>
      </c>
      <c r="C99" s="38" t="s">
        <v>40</v>
      </c>
      <c r="D99" s="42">
        <f>TRUNC(971,-1)</f>
        <v>970</v>
      </c>
      <c r="E99" s="63">
        <f t="shared" si="3"/>
        <v>3200</v>
      </c>
    </row>
    <row r="100" spans="1:7" x14ac:dyDescent="0.3">
      <c r="A100" s="2">
        <v>3</v>
      </c>
      <c r="C100" s="38" t="s">
        <v>41</v>
      </c>
      <c r="D100" s="42">
        <f>TRUNC(5203,-1)</f>
        <v>5200</v>
      </c>
      <c r="E100" s="63">
        <f t="shared" si="3"/>
        <v>17190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TRUNC(345,-1)</f>
        <v>340</v>
      </c>
      <c r="E102" s="63">
        <f t="shared" si="3"/>
        <v>1120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TRUNC(5791,-1)</f>
        <v>5790</v>
      </c>
      <c r="E104" s="63">
        <f t="shared" si="3"/>
        <v>19140</v>
      </c>
    </row>
    <row r="105" spans="1:7" x14ac:dyDescent="0.3">
      <c r="A105" s="2">
        <v>8</v>
      </c>
      <c r="C105" s="38" t="s">
        <v>46</v>
      </c>
      <c r="D105" s="42">
        <f>TRUNC(10716,-1)</f>
        <v>10710</v>
      </c>
      <c r="E105" s="63">
        <f t="shared" si="3"/>
        <v>35400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TRUNC(13741,-1)</f>
        <v>13740</v>
      </c>
      <c r="E116" s="63">
        <f t="shared" si="3"/>
        <v>45420</v>
      </c>
      <c r="F116" s="2" t="s">
        <v>261</v>
      </c>
    </row>
    <row r="117" spans="1:7" x14ac:dyDescent="0.3">
      <c r="A117" s="2">
        <v>20</v>
      </c>
      <c r="C117" s="38" t="s">
        <v>149</v>
      </c>
      <c r="D117" s="42">
        <v>5640</v>
      </c>
      <c r="E117" s="63">
        <f t="shared" si="3"/>
        <v>18640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52660</v>
      </c>
      <c r="E119" s="39">
        <f>SUM(E98:E118)</f>
        <v>174060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TRUNC(2566,-1)</f>
        <v>2560</v>
      </c>
      <c r="E125" s="63">
        <f t="shared" si="4"/>
        <v>8460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TRUNC(5976,-1)</f>
        <v>5970</v>
      </c>
      <c r="E128" s="63">
        <f t="shared" si="4"/>
        <v>19730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TRUNC(3609,-1)</f>
        <v>3600</v>
      </c>
      <c r="E130" s="63">
        <f t="shared" si="4"/>
        <v>11900</v>
      </c>
    </row>
    <row r="131" spans="1:7" x14ac:dyDescent="0.3">
      <c r="A131" s="2">
        <v>10</v>
      </c>
      <c r="C131" s="38" t="s">
        <v>149</v>
      </c>
      <c r="D131" s="42">
        <f>TRUNC(18195,-1)</f>
        <v>18190</v>
      </c>
      <c r="E131" s="63">
        <f t="shared" si="4"/>
        <v>60130</v>
      </c>
    </row>
    <row r="132" spans="1:7" ht="18" thickBot="1" x14ac:dyDescent="0.35">
      <c r="A132" s="2">
        <v>11</v>
      </c>
      <c r="C132" s="38" t="s">
        <v>47</v>
      </c>
      <c r="D132" s="43">
        <f>TRUNC(1666+3261,-1)</f>
        <v>4920</v>
      </c>
      <c r="E132" s="64">
        <f t="shared" si="4"/>
        <v>16260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35240</v>
      </c>
      <c r="E133" s="39">
        <f>SUM(E122:E132)</f>
        <v>116480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TRUNC(14046,-1)</f>
        <v>14040</v>
      </c>
      <c r="E142" s="63">
        <f t="shared" si="5"/>
        <v>46410</v>
      </c>
    </row>
    <row r="143" spans="1:7" x14ac:dyDescent="0.3">
      <c r="A143" s="2">
        <v>8</v>
      </c>
      <c r="C143" s="38" t="s">
        <v>62</v>
      </c>
      <c r="D143" s="42">
        <f>TRUNC(3258,-1)</f>
        <v>3250</v>
      </c>
      <c r="E143" s="63">
        <f t="shared" si="5"/>
        <v>10740</v>
      </c>
    </row>
    <row r="144" spans="1:7" x14ac:dyDescent="0.3">
      <c r="A144" s="2">
        <v>9</v>
      </c>
      <c r="C144" s="38" t="s">
        <v>63</v>
      </c>
      <c r="D144" s="42">
        <f>TRUNC(12388,-1)</f>
        <v>12380</v>
      </c>
      <c r="E144" s="63">
        <f t="shared" si="5"/>
        <v>40920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29670</v>
      </c>
      <c r="E146" s="39">
        <f>SUM(E136:E145)</f>
        <v>98070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TRUNC(12575+2074,-1)</f>
        <v>14640</v>
      </c>
      <c r="E149" s="62">
        <f>TRUNC(+D149*3.3058,-1)</f>
        <v>48390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TRUNC(40663,-1)</f>
        <v>40660</v>
      </c>
      <c r="E150" s="63">
        <f>TRUNC(+D150*3.3058,-1)</f>
        <v>134410</v>
      </c>
    </row>
    <row r="151" spans="1:7" x14ac:dyDescent="0.3">
      <c r="A151" s="2">
        <v>3</v>
      </c>
      <c r="C151" s="38" t="s">
        <v>50</v>
      </c>
      <c r="D151" s="42">
        <f>TRUNC(120491,-1)</f>
        <v>120490</v>
      </c>
      <c r="E151" s="63">
        <f>TRUNC(+D151*3.3058,-1)</f>
        <v>398310</v>
      </c>
    </row>
    <row r="152" spans="1:7" x14ac:dyDescent="0.3">
      <c r="A152" s="2">
        <v>4</v>
      </c>
      <c r="C152" s="38" t="s">
        <v>47</v>
      </c>
      <c r="D152" s="42">
        <f>376+4634</f>
        <v>5010</v>
      </c>
      <c r="E152" s="63">
        <f>TRUNC(+D152*3.3058,-1)</f>
        <v>16560</v>
      </c>
      <c r="F152" s="2" t="s">
        <v>258</v>
      </c>
    </row>
    <row r="153" spans="1:7" ht="17.25" thickBot="1" x14ac:dyDescent="0.35">
      <c r="A153" s="2">
        <v>5</v>
      </c>
      <c r="C153" s="38" t="s">
        <v>149</v>
      </c>
      <c r="D153" s="43">
        <f>TRUNC(85682,-1)</f>
        <v>85680</v>
      </c>
      <c r="E153" s="64">
        <f>TRUNC(+D153*3.3058,-1)</f>
        <v>283240</v>
      </c>
    </row>
    <row r="154" spans="1:7" x14ac:dyDescent="0.3">
      <c r="A154" s="2">
        <v>6</v>
      </c>
      <c r="C154" s="27" t="s">
        <v>112</v>
      </c>
      <c r="D154" s="39">
        <f>SUM(D149:D153)</f>
        <v>266480</v>
      </c>
      <c r="E154" s="39">
        <f>SUM(E149:E153)</f>
        <v>880910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TRUNC(1859,-1)</f>
        <v>1850</v>
      </c>
      <c r="E157" s="62">
        <f>TRUNC(+D157*3.3058,-1)</f>
        <v>6110</v>
      </c>
    </row>
    <row r="158" spans="1:7" x14ac:dyDescent="0.3">
      <c r="A158" s="2">
        <v>2</v>
      </c>
      <c r="C158" s="38" t="s">
        <v>52</v>
      </c>
      <c r="D158" s="42">
        <f>TRUNC(611,-1)</f>
        <v>610</v>
      </c>
      <c r="E158" s="63">
        <f>TRUNC(+D158*3.3058,-1)</f>
        <v>2010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TRUNC(4569+526,-1)</f>
        <v>5090</v>
      </c>
      <c r="E159" s="63">
        <f>TRUNC(+D159*3.3058,-1)</f>
        <v>16820</v>
      </c>
      <c r="F159" s="2" t="s">
        <v>259</v>
      </c>
    </row>
    <row r="160" spans="1:7" ht="17.25" thickBot="1" x14ac:dyDescent="0.35">
      <c r="A160" s="2">
        <v>4</v>
      </c>
      <c r="C160" s="38" t="s">
        <v>149</v>
      </c>
      <c r="D160" s="43">
        <f>TRUNC(3204,-1)</f>
        <v>3200</v>
      </c>
      <c r="E160" s="64">
        <f>TRUNC(+D160*3.3058,-1)</f>
        <v>10570</v>
      </c>
    </row>
    <row r="161" spans="1:5" x14ac:dyDescent="0.3">
      <c r="A161" s="2">
        <v>5</v>
      </c>
      <c r="C161" s="27" t="s">
        <v>112</v>
      </c>
      <c r="D161" s="39">
        <f>SUM(D157:D160)</f>
        <v>10750</v>
      </c>
      <c r="E161" s="39">
        <f>SUM(E157:E160)</f>
        <v>35510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2020-12-08T04:48:07Z</dcterms:modified>
</cp:coreProperties>
</file>