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45" i="4" l="1"/>
  <c r="D117" i="4"/>
  <c r="D93" i="4"/>
  <c r="D59" i="4"/>
  <c r="D137" i="4"/>
  <c r="D139" i="4"/>
  <c r="D142" i="4"/>
  <c r="D140" i="4"/>
  <c r="D103" i="4"/>
  <c r="D102" i="4"/>
  <c r="D100" i="4"/>
  <c r="D98" i="4"/>
  <c r="D92" i="4"/>
  <c r="D89" i="4"/>
  <c r="D73" i="4"/>
  <c r="D70" i="4"/>
  <c r="D69" i="4"/>
  <c r="D58" i="4"/>
  <c r="D53" i="4"/>
  <c r="D50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29" i="4"/>
  <c r="E29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<sst xmlns="http://schemas.openxmlformats.org/spreadsheetml/2006/main" count="387" uniqueCount="262">
  <si>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</si>
  <si>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</si>
  <si>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</si>
  <si>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</si>
  <si>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</si>
  <si>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</si>
  <si>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</si>
  <si>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</si>
  <si>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</si>
  <si>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</si>
  <si>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</si>
  <si>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</si>
  <si>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</si>
  <si>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</si>
  <si>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</si>
  <si>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</si>
  <si>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</si>
  <si>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</si>
  <si>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</si>
  <si>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</si>
  <si>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</si>
  <si>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</si>
  <si>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</si>
  <si>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</si>
  <si>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</si>
  <si>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</si>
  <si>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</si>
  <si>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</si>
  <si>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</si>
  <si>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</si>
  <si>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</si>
  <si>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</si>
  <si>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</si>
  <si>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</si>
  <si>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</si>
  <si>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</si>
  <si>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</si>
  <si>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</si>
  <si>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</si>
  <si>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</si>
  <si>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</si>
  <si>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</si>
  <si>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</si>
  <si>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</si>
  <si>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</si>
  <si>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</si>
  <si>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</si>
  <si>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</si>
  <si>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</si>
  <si>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</si>
  <si>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</si>
  <si>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</si>
  <si>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</si>
  <si>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</si>
  <si>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</si>
  <si>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</si>
  <si>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</si>
  <si>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</si>
  <si>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</si>
  <si>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</si>
  <si>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</si>
  <si>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</si>
  <si>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</si>
  <si>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</si>
  <si>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</si>
  <si>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</si>
  <si>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</si>
  <si>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</si>
  <si>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</si>
  <si>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</si>
  <si>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</si>
  <si>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</si>
  <si>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</si>
  <si>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</si>
  <si>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</si>
  <si>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</si>
  <si>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</si>
  <si>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</si>
  <si>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</si>
  <si>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</si>
  <si>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</si>
  <si>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</si>
  <si>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</si>
  <si>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</si>
  <si>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</si>
  <si>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</si>
  <si>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</si>
  <si>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</si>
  <si>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</si>
  <si>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</si>
  <si>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</si>
  <si>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</si>
  <si>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</si>
  <si>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</si>
  <si>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</si>
  <si>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</si>
  <si>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</si>
  <si>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</si>
  <si>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</si>
  <si>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</si>
  <si>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</si>
  <si>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</si>
  <si>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</si>
  <si>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</si>
  <si>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</si>
  <si>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</si>
  <si>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</si>
  <si>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</si>
  <si>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</si>
  <si>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</si>
  <si>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</si>
  <si>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</si>
  <si>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</si>
  <si>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</si>
  <si>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</si>
  <si>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</si>
  <si>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</si>
  <si>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</si>
  <si>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</si>
  <si>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</si>
  <si>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</si>
  <si>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</si>
  <si>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</si>
  <si>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</si>
  <si>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</si>
  <si>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</si>
  <si>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</si>
  <si>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</si>
  <si>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</si>
  <si>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</si>
  <si>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</si>
  <si>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</si>
  <si>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</si>
  <si>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</si>
  <si>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</si>
  <si>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</si>
  <si>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</si>
  <si>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</si>
  <si>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</si>
  <si>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</si>
  <si>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</si>
  <si>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</si>
  <si>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</si>
  <si>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</si>
  <si>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</si>
  <si>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</si>
  <si>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</si>
  <si>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</si>
  <si>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</si>
  <si>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</si>
  <si>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</si>
  <si>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</si>
  <si>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</si>
  <si>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</si>
  <si>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</si>
  <si>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</si>
  <si>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</si>
  <si>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</si>
  <si>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</si>
  <si>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</si>
  <si>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</si>
  <si>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</si>
  <si>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</si>
  <si>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</si>
  <si>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</si>
  <si>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</si>
  <si>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</si>
  <si>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</si>
  <si>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</si>
  <si>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</si>
  <si>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</si>
  <si>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</si>
  <si>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</si>
  <si>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</si>
  <si>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</si>
  <si>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</si>
  <si>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</si>
  <si>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</si>
  <si>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</si>
  <si>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</si>
  <si>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</si>
  <si>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</si>
  <si>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</si>
  <si>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</si>
  <si>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</si>
  <si>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</si>
  <si>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</si>
  <si>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</si>
  <si>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</si>
  <si>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</si>
  <si>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</si>
  <si>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</si>
  <si>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</si>
  <si>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</si>
  <si>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</si>
  <si>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</si>
  <si>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</si>
  <si>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</si>
  <si>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</si>
  <si>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</si>
  <si>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</si>
  <si>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</si>
  <si>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</si>
  <si>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</si>
  <si>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</si>
  <si>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</si>
  <si>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</si>
  <si>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</si>
  <si>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</si>
  <si>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</si>
  <si>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</si>
  <si>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</si>
  <si>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</si>
  <si>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</si>
  <si>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</si>
  <si>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</si>
  <si>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</si>
  <si>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</si>
  <si>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</si>
  <si>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</si>
  <si>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</si>
  <si>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</si>
  <si>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</si>
  <si>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</si>
  <si>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</si>
  <si>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</si>
  <si>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</si>
  <si>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</si>
  <si>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</si>
  <si>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</si>
  <si>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</si>
  <si>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</si>
  <si>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</si>
  <si>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</si>
  <si>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</si>
  <si>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</si>
  <si>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</si>
  <si>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</si>
  <si>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</si>
  <si>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</si>
  <si>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</si>
  <si>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</si>
  <si>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</si>
  <si>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</si>
  <si>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</si>
  <si>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</si>
  <si>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</si>
  <si>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</si>
  <si>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한우연구소 ICT 분만육성우사 신축공사</t>
    <phoneticPr fontId="2" type="noConversion"/>
  </si>
  <si>
    <t>기타</t>
  </si>
  <si>
    <t>강원도</t>
  </si>
  <si>
    <t>기초공사,기타공사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</si>
  <si>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</si>
  <si>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</si>
  <si>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</si>
  <si>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옥외소화배관공사,펌프실배관공사,기타공사</t>
    <phoneticPr fontId="2" type="noConversion"/>
  </si>
  <si>
    <t>공조배관공사,기타공사,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</si>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</sst>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3385.4</v>
      </c>
      <c r="D7" s="36">
        <f>+C7/3.3058</f>
        <v>1024.0788916449876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558080</v>
      </c>
      <c r="E25" s="59">
        <f t="shared" si="0"/>
        <v>1844900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43840</v>
      </c>
      <c r="E27" s="59">
        <f t="shared" si="0"/>
        <v>144920</v>
      </c>
    </row>
    <row r="28" spans="1:5" x14ac:dyDescent="0.3">
      <c r="B28" s="2">
        <v>5</v>
      </c>
      <c r="C28" s="35" t="s">
        <v>97</v>
      </c>
      <c r="D28" s="45">
        <f>+D119</f>
        <v>28920</v>
      </c>
      <c r="E28" s="59">
        <f t="shared" si="0"/>
        <v>95600</v>
      </c>
    </row>
    <row r="29" spans="1:5" x14ac:dyDescent="0.3">
      <c r="B29" s="2">
        <v>6</v>
      </c>
      <c r="C29" s="35" t="s">
        <v>98</v>
      </c>
      <c r="D29" s="45">
        <f>+D133</f>
        <v>0</v>
      </c>
      <c r="E29" s="59">
        <f t="shared" si="0"/>
        <v>0</v>
      </c>
    </row>
    <row r="30" spans="1:5" x14ac:dyDescent="0.3">
      <c r="B30" s="2">
        <v>7</v>
      </c>
      <c r="C30" s="35" t="s">
        <v>99</v>
      </c>
      <c r="D30" s="45">
        <f>+D146</f>
        <v>27650</v>
      </c>
      <c r="E30" s="59">
        <f t="shared" si="0"/>
        <v>91400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181080</v>
      </c>
      <c r="E33" s="60">
        <f t="shared" si="0"/>
        <v>598610</v>
      </c>
    </row>
    <row r="34" spans="1:7" x14ac:dyDescent="0.3">
      <c r="C34" s="35" t="s">
        <v>112</v>
      </c>
      <c r="D34" s="44">
        <f>SUM(D24:D33)</f>
        <v>839570</v>
      </c>
      <c r="E34" s="44">
        <f>SUM(E24:E33)</f>
        <v>2775430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257</v>
      </c>
      <c r="E39" s="67" t="s">
        <v>258</v>
      </c>
      <c r="G39" s="68"/>
    </row>
    <row r="40" spans="1:7" x14ac:dyDescent="0.3">
      <c r="A40" s="2">
        <v>1</v>
      </c>
      <c r="C40" s="38" t="s">
        <v>15</v>
      </c>
      <c r="D40" s="40">
        <f>TRUNC(8806,-1)</f>
        <v>8800</v>
      </c>
      <c r="E40" s="62">
        <f t="shared" ref="E40:E59" si="1">TRUNC(+D40*3.3058,-1)</f>
        <v>29090</v>
      </c>
    </row>
    <row r="41" spans="1:7" x14ac:dyDescent="0.3">
      <c r="A41" s="2">
        <v>2</v>
      </c>
      <c r="C41" s="38" t="s">
        <v>13</v>
      </c>
      <c r="D41" s="42">
        <f>TRUNC(64858,-1)</f>
        <v>64850</v>
      </c>
      <c r="E41" s="63">
        <f t="shared" si="1"/>
        <v>214380</v>
      </c>
    </row>
    <row r="42" spans="1:7" x14ac:dyDescent="0.3">
      <c r="A42" s="2">
        <v>3</v>
      </c>
      <c r="C42" s="38" t="s">
        <v>14</v>
      </c>
      <c r="D42" s="42">
        <f>TRUNC(107964,-1)</f>
        <v>107960</v>
      </c>
      <c r="E42" s="63">
        <f t="shared" si="1"/>
        <v>356890</v>
      </c>
    </row>
    <row r="43" spans="1:7" x14ac:dyDescent="0.3">
      <c r="A43" s="2">
        <v>4</v>
      </c>
      <c r="C43" s="38" t="s">
        <v>16</v>
      </c>
      <c r="D43" s="42">
        <f>TRUNC(958,-1)</f>
        <v>950</v>
      </c>
      <c r="E43" s="63">
        <f t="shared" si="1"/>
        <v>3140</v>
      </c>
    </row>
    <row r="44" spans="1:7" x14ac:dyDescent="0.3">
      <c r="A44" s="2">
        <v>5</v>
      </c>
      <c r="C44" s="38" t="s">
        <v>17</v>
      </c>
      <c r="D44" s="42">
        <f>TRUNC(4182,-1)</f>
        <v>4180</v>
      </c>
      <c r="E44" s="63">
        <f t="shared" si="1"/>
        <v>13810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TRUNC(1675,-1)</f>
        <v>1670</v>
      </c>
      <c r="E46" s="63">
        <f t="shared" si="1"/>
        <v>5520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TRUNC(50240,-1)</f>
        <v>50240</v>
      </c>
      <c r="E48" s="63">
        <f t="shared" si="1"/>
        <v>166080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f>TRUNC(65977,-1)</f>
        <v>65970</v>
      </c>
      <c r="E50" s="63">
        <f t="shared" si="1"/>
        <v>218080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TRUNC(3583,-1)</f>
        <v>3580</v>
      </c>
      <c r="E53" s="63">
        <f t="shared" si="1"/>
        <v>11830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TRUNC(8217+59460,-1)</f>
        <v>67670</v>
      </c>
      <c r="E58" s="63">
        <f t="shared" si="1"/>
        <v>223700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TRUNC(182215,-1)</f>
        <v>182210</v>
      </c>
      <c r="E59" s="64">
        <f t="shared" si="1"/>
        <v>602340</v>
      </c>
    </row>
    <row r="60" spans="1:7" x14ac:dyDescent="0.3">
      <c r="A60" s="2">
        <v>21</v>
      </c>
      <c r="C60" s="27" t="s">
        <v>112</v>
      </c>
      <c r="D60" s="39">
        <f>SUM(D40:D59)</f>
        <v>558080</v>
      </c>
      <c r="E60" s="39">
        <f>SUM(E40:E59)</f>
        <v>1844860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TRUNC(2877,-1)</f>
        <v>2870</v>
      </c>
      <c r="E69" s="62">
        <f t="shared" ref="E69:E94" si="2">TRUNC(+D69*3.3058,-1)</f>
        <v>9480</v>
      </c>
    </row>
    <row r="70" spans="1:7" ht="16.5" customHeight="1" x14ac:dyDescent="0.3">
      <c r="A70" s="2">
        <v>2</v>
      </c>
      <c r="C70" s="38" t="s">
        <v>31</v>
      </c>
      <c r="D70" s="42">
        <f>TRUNC(8278,-1)</f>
        <v>8270</v>
      </c>
      <c r="E70" s="63">
        <f t="shared" si="2"/>
        <v>27330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TRUNC(8149,-1)</f>
        <v>8140</v>
      </c>
      <c r="E73" s="63">
        <f t="shared" si="2"/>
        <v>26900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TRUNC(6671,-1)</f>
        <v>6670</v>
      </c>
      <c r="E89" s="63">
        <f t="shared" si="2"/>
        <v>22040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TRUNC(908,-1)</f>
        <v>900</v>
      </c>
      <c r="E92" s="63">
        <f t="shared" si="2"/>
        <v>2970</v>
      </c>
    </row>
    <row r="93" spans="1:7" x14ac:dyDescent="0.3">
      <c r="A93" s="2">
        <v>25</v>
      </c>
      <c r="C93" s="38" t="s">
        <v>148</v>
      </c>
      <c r="D93" s="42">
        <f>TRUNC(4717,-1)</f>
        <v>4710</v>
      </c>
      <c r="E93" s="63">
        <f t="shared" si="2"/>
        <v>15570</v>
      </c>
    </row>
    <row r="94" spans="1:7" ht="17.25" thickBot="1" x14ac:dyDescent="0.35">
      <c r="A94" s="2">
        <v>26</v>
      </c>
      <c r="C94" s="38" t="s">
        <v>47</v>
      </c>
      <c r="D94" s="43">
        <f>TRUNC(88+11221+980,-1)</f>
        <v>12280</v>
      </c>
      <c r="E94" s="64">
        <f t="shared" si="2"/>
        <v>40590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43840</v>
      </c>
      <c r="E95" s="39">
        <f>SUM(E69:E94)</f>
        <v>144880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TRUNC(9858,-1)</f>
        <v>9850</v>
      </c>
      <c r="E98" s="62">
        <f t="shared" ref="E98:E118" si="3">TRUNC(+D98*3.3058,-1)</f>
        <v>32560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TRUNC(5420,-1)</f>
        <v>5420</v>
      </c>
      <c r="E100" s="63">
        <f t="shared" si="3"/>
        <v>17910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TRUNC(4423,-1)</f>
        <v>4420</v>
      </c>
      <c r="E102" s="63">
        <f t="shared" si="3"/>
        <v>14610</v>
      </c>
    </row>
    <row r="103" spans="1:7" x14ac:dyDescent="0.3">
      <c r="A103" s="2">
        <v>6</v>
      </c>
      <c r="C103" s="38" t="s">
        <v>44</v>
      </c>
      <c r="D103" s="42">
        <f>TRUNC(1148,-1)</f>
        <v>1140</v>
      </c>
      <c r="E103" s="63">
        <f t="shared" si="3"/>
        <v>3760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TRUNC(8094,-1)</f>
        <v>8090</v>
      </c>
      <c r="E117" s="63">
        <f t="shared" si="3"/>
        <v>26740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28920</v>
      </c>
      <c r="E119" s="39">
        <f>SUM(E98:E118)</f>
        <v>95580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0</v>
      </c>
      <c r="E133" s="39">
        <f>SUM(E122:E132)</f>
        <v>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TRUNC(1898+3004+10340,-1)</f>
        <v>15240</v>
      </c>
      <c r="E137" s="63">
        <f t="shared" si="5"/>
        <v>50380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TRUNC(1353,-1)</f>
        <v>1350</v>
      </c>
      <c r="E139" s="63">
        <f t="shared" si="5"/>
        <v>4460</v>
      </c>
    </row>
    <row r="140" spans="1:7" x14ac:dyDescent="0.3">
      <c r="A140" s="2">
        <v>5</v>
      </c>
      <c r="C140" s="38" t="s">
        <v>57</v>
      </c>
      <c r="D140" s="42">
        <f>TRUNC(4972,-1)</f>
        <v>4970</v>
      </c>
      <c r="E140" s="63">
        <f t="shared" si="5"/>
        <v>16420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TRUNC(2652,-1)</f>
        <v>2650</v>
      </c>
      <c r="E142" s="63">
        <f t="shared" si="5"/>
        <v>8760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f>TRUNC(3442,-1)</f>
        <v>3440</v>
      </c>
      <c r="E145" s="64">
        <f t="shared" si="5"/>
        <v>11370</v>
      </c>
    </row>
    <row r="146" spans="1:7" x14ac:dyDescent="0.3">
      <c r="A146" s="2">
        <v>11</v>
      </c>
      <c r="C146" s="27" t="s">
        <v>112</v>
      </c>
      <c r="D146" s="39">
        <f>SUM(D136:D145)</f>
        <v>27650</v>
      </c>
      <c r="E146" s="39">
        <f>SUM(E136:E145)</f>
        <v>91390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2020-12-08T04:06:08Z</dcterms:modified>
</cp:coreProperties>
</file>