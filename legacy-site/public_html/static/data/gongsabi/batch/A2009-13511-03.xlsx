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3" i="4" l="1"/>
  <c r="D117" i="4"/>
  <c r="D153" i="4"/>
  <c r="D131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46" i="4" l="1"/>
  <c r="D40" i="4"/>
  <c r="E40" i="4" s="1"/>
  <c r="D152" i="4" l="1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D161" i="4"/>
  <c r="D32" i="4" s="1"/>
  <c r="E32" i="4" s="1"/>
  <c r="D154" i="4"/>
  <c r="D31" i="4" s="1"/>
  <c r="D146" i="4"/>
  <c r="D133" i="4"/>
  <c r="D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E27" i="4"/>
  <c r="E31" i="4"/>
  <c r="D33" i="4"/>
  <c r="E33" i="4" l="1"/>
  <c r="E34" i="4" s="1"/>
  <c r="D34" i="4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<sst xmlns="http://schemas.openxmlformats.org/spreadsheetml/2006/main" count="384" uniqueCount="259">
  <si>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</si>
  <si>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</si>
  <si>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</si>
  <si>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</si>
  <si>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</si>
  <si>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</si>
  <si>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</si>
  <si>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</si>
  <si>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</si>
  <si>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</si>
  <si>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</si>
  <si>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</si>
  <si>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</si>
  <si>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</si>
  <si>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</si>
  <si>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</si>
  <si>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</si>
  <si>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</si>
  <si>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</si>
  <si>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</si>
  <si>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</si>
  <si>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</si>
  <si>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</si>
  <si>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</si>
  <si>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</si>
  <si>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</si>
  <si>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</si>
  <si>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</si>
  <si>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</si>
  <si>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</si>
  <si>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</si>
  <si>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</si>
  <si>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</si>
  <si>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</si>
  <si>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</si>
  <si>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</si>
  <si>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</si>
  <si>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</si>
  <si>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</si>
  <si>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</si>
  <si>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</si>
  <si>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</si>
  <si>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</si>
  <si>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</si>
  <si>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</si>
  <si>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</si>
  <si>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</si>
  <si>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</si>
  <si>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</si>
  <si>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</si>
  <si>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</si>
  <si>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</si>
  <si>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</si>
  <si>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</si>
  <si>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</si>
  <si>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</si>
  <si>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</si>
  <si>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</si>
  <si>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</si>
  <si>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</si>
  <si>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</si>
  <si>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</si>
  <si>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</si>
  <si>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</si>
  <si>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</si>
  <si>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</si>
  <si>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</si>
  <si>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</si>
  <si>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</si>
  <si>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</si>
  <si>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</si>
  <si>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</si>
  <si>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</si>
  <si>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</si>
  <si>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</si>
  <si>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</si>
  <si>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</si>
  <si>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</si>
  <si>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</si>
  <si>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</si>
  <si>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</si>
  <si>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</si>
  <si>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</si>
  <si>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</si>
  <si>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</si>
  <si>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</si>
  <si>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</si>
  <si>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</si>
  <si>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</si>
  <si>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</si>
  <si>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</si>
  <si>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</si>
  <si>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</si>
  <si>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</si>
  <si>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</si>
  <si>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</si>
  <si>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</si>
  <si>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</si>
  <si>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</si>
  <si>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</si>
  <si>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</si>
  <si>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</si>
  <si>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</si>
  <si>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</si>
  <si>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</si>
  <si>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</si>
  <si>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</si>
  <si>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</si>
  <si>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</si>
  <si>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</si>
  <si>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</si>
  <si>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</si>
  <si>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</si>
  <si>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</si>
  <si>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</si>
  <si>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</si>
  <si>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</si>
  <si>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</si>
  <si>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</si>
  <si>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</si>
  <si>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</si>
  <si>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</si>
  <si>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</si>
  <si>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</si>
  <si>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</si>
  <si>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</si>
  <si>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</si>
  <si>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</si>
  <si>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</si>
  <si>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</si>
  <si>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</si>
  <si>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</si>
  <si>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</si>
  <si>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</si>
  <si>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</si>
  <si>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</si>
  <si>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</si>
  <si>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</si>
  <si>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</si>
  <si>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</si>
  <si>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</si>
  <si>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</si>
  <si>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</si>
  <si>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</si>
  <si>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</si>
  <si>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</si>
  <si>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</si>
  <si>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</si>
  <si>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</si>
  <si>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</si>
  <si>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</si>
  <si>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</si>
  <si>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</si>
  <si>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</si>
  <si>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</si>
  <si>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</si>
  <si>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</si>
  <si>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</si>
  <si>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</si>
  <si>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</si>
  <si>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</si>
  <si>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</si>
  <si>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</si>
  <si>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</si>
  <si>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</si>
  <si>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</si>
  <si>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</si>
  <si>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</si>
  <si>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</si>
  <si>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</si>
  <si>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</si>
  <si>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</si>
  <si>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</si>
  <si>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</si>
  <si>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</si>
  <si>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</si>
  <si>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</si>
  <si>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</si>
  <si>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</si>
  <si>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</si>
  <si>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</si>
  <si>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</si>
  <si>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</si>
  <si>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</si>
  <si>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</si>
  <si>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</si>
  <si>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</si>
  <si>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</si>
  <si>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</si>
  <si>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</si>
  <si>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</si>
  <si>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</si>
  <si>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</si>
  <si>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</si>
  <si>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</si>
  <si>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</si>
  <si>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</si>
  <si>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</si>
  <si>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</si>
  <si>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</si>
  <si>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</si>
  <si>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</si>
  <si>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</si>
  <si>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</si>
  <si>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</si>
  <si>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</si>
  <si>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</si>
  <si>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</si>
  <si>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</si>
  <si>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</si>
  <si>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</si>
  <si>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</si>
  <si>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</si>
  <si>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</si>
  <si>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</si>
  <si>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</si>
  <si>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</si>
  <si>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</si>
  <si>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</si>
  <si>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</si>
  <si>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</si>
  <si>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</si>
  <si>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</si>
  <si>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</si>
  <si>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</si>
  <si>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</si>
  <si>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</si>
  <si>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</si>
  <si>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</si>
  <si>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</si>
  <si>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</si>
  <si>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</si>
  <si>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</si>
  <si>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</si>
  <si>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</si>
  <si>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</si>
  <si>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</si>
  <si>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</si>
  <si>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</si>
  <si>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</si>
  <si>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</si>
  <si>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</si>
  <si>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</si>
  <si>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</si>
  <si>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</si>
  <si>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</si>
  <si>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</si>
  <si>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</si>
  <si>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행정도시 정부청사 1단계 1구역 건립공사</t>
  </si>
  <si>
    <t>업무</t>
  </si>
  <si>
    <t>충청도</t>
  </si>
  <si>
    <t>기타공사,골재대 및 운반비</t>
  </si>
  <si>
    <t>토공사 및 지정공사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</si>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</sst>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38386</v>
      </c>
      <c r="D7" s="36">
        <f>+C7/3.3058</f>
        <v>11611.712747292637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913090</v>
      </c>
      <c r="E25" s="59">
        <f t="shared" si="0"/>
        <v>3018490</v>
      </c>
    </row>
    <row r="26" spans="1:5" x14ac:dyDescent="0.3">
      <c r="B26" s="2">
        <v>3</v>
      </c>
      <c r="C26" s="35" t="s">
        <v>95</v>
      </c>
      <c r="D26" s="45">
        <f>+D66</f>
        <v>1210</v>
      </c>
      <c r="E26" s="59">
        <f t="shared" si="0"/>
        <v>4000</v>
      </c>
    </row>
    <row r="27" spans="1:5" x14ac:dyDescent="0.3">
      <c r="B27" s="2">
        <v>4</v>
      </c>
      <c r="C27" s="35" t="s">
        <v>96</v>
      </c>
      <c r="D27" s="45">
        <f>+D95</f>
        <v>345380</v>
      </c>
      <c r="E27" s="59">
        <f t="shared" si="0"/>
        <v>1141750</v>
      </c>
    </row>
    <row r="28" spans="1:5" x14ac:dyDescent="0.3">
      <c r="B28" s="2">
        <v>5</v>
      </c>
      <c r="C28" s="35" t="s">
        <v>97</v>
      </c>
      <c r="D28" s="45">
        <f>+D119</f>
        <v>254510</v>
      </c>
      <c r="E28" s="59">
        <f t="shared" si="0"/>
        <v>841350</v>
      </c>
    </row>
    <row r="29" spans="1:5" x14ac:dyDescent="0.3">
      <c r="B29" s="2">
        <v>6</v>
      </c>
      <c r="C29" s="35" t="s">
        <v>98</v>
      </c>
      <c r="D29" s="45">
        <f>+D133</f>
        <v>240590</v>
      </c>
      <c r="E29" s="59">
        <f t="shared" si="0"/>
        <v>795340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153940</v>
      </c>
      <c r="E31" s="59">
        <f t="shared" si="0"/>
        <v>508890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524890</v>
      </c>
      <c r="E33" s="60">
        <f t="shared" si="0"/>
        <v>1735180</v>
      </c>
    </row>
    <row r="34" spans="1:7" x14ac:dyDescent="0.3">
      <c r="C34" s="35" t="s">
        <v>112</v>
      </c>
      <c r="D34" s="44">
        <f>SUM(D24:D33)</f>
        <v>2433610</v>
      </c>
      <c r="E34" s="44">
        <f>SUM(E24:E33)</f>
        <v>8045000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240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TRUNC(43668,-1)</f>
        <v>43660</v>
      </c>
      <c r="E40" s="62">
        <f t="shared" ref="E40:E59" si="1">TRUNC(+D40*3.3058,-1)</f>
        <v>144330</v>
      </c>
    </row>
    <row r="41" spans="1:7" x14ac:dyDescent="0.3">
      <c r="A41" s="2">
        <v>2</v>
      </c>
      <c r="C41" s="38" t="s">
        <v>13</v>
      </c>
      <c r="D41" s="42">
        <f>TRUNC(163104,-1)</f>
        <v>163100</v>
      </c>
      <c r="E41" s="63">
        <f t="shared" si="1"/>
        <v>539170</v>
      </c>
    </row>
    <row r="42" spans="1:7" x14ac:dyDescent="0.3">
      <c r="A42" s="2">
        <v>3</v>
      </c>
      <c r="C42" s="38" t="s">
        <v>14</v>
      </c>
      <c r="D42" s="42">
        <f>TRUNC(182606,-1)</f>
        <v>182600</v>
      </c>
      <c r="E42" s="63">
        <f t="shared" si="1"/>
        <v>603630</v>
      </c>
    </row>
    <row r="43" spans="1:7" x14ac:dyDescent="0.3">
      <c r="A43" s="2">
        <v>4</v>
      </c>
      <c r="C43" s="38" t="s">
        <v>16</v>
      </c>
      <c r="D43" s="42">
        <f>TRUNC(10604,-1)</f>
        <v>10600</v>
      </c>
      <c r="E43" s="63">
        <f t="shared" si="1"/>
        <v>35040</v>
      </c>
    </row>
    <row r="44" spans="1:7" x14ac:dyDescent="0.3">
      <c r="A44" s="2">
        <v>5</v>
      </c>
      <c r="C44" s="38" t="s">
        <v>17</v>
      </c>
      <c r="D44" s="42">
        <f>TRUNC(39233,-1)</f>
        <v>39230</v>
      </c>
      <c r="E44" s="63">
        <f t="shared" si="1"/>
        <v>129680</v>
      </c>
    </row>
    <row r="45" spans="1:7" x14ac:dyDescent="0.3">
      <c r="A45" s="2">
        <v>6</v>
      </c>
      <c r="C45" s="38" t="s">
        <v>18</v>
      </c>
      <c r="D45" s="42">
        <f>TRUNC(3195,-1)</f>
        <v>3190</v>
      </c>
      <c r="E45" s="63">
        <f t="shared" si="1"/>
        <v>10540</v>
      </c>
    </row>
    <row r="46" spans="1:7" x14ac:dyDescent="0.3">
      <c r="A46" s="2">
        <v>7</v>
      </c>
      <c r="C46" s="38" t="s">
        <v>19</v>
      </c>
      <c r="D46" s="42">
        <f>TRUNC(31559,-1)</f>
        <v>31550</v>
      </c>
      <c r="E46" s="63">
        <f t="shared" si="1"/>
        <v>104290</v>
      </c>
    </row>
    <row r="47" spans="1:7" x14ac:dyDescent="0.3">
      <c r="A47" s="2">
        <v>8</v>
      </c>
      <c r="C47" s="38" t="s">
        <v>20</v>
      </c>
      <c r="D47" s="42">
        <f>TRUNC(2556,-1)</f>
        <v>2550</v>
      </c>
      <c r="E47" s="63">
        <f t="shared" si="1"/>
        <v>8420</v>
      </c>
    </row>
    <row r="48" spans="1:7" x14ac:dyDescent="0.3">
      <c r="A48" s="2">
        <v>9</v>
      </c>
      <c r="C48" s="38" t="s">
        <v>21</v>
      </c>
      <c r="D48" s="42">
        <f>TRUNC(59708,-1)</f>
        <v>59700</v>
      </c>
      <c r="E48" s="63">
        <f t="shared" si="1"/>
        <v>197350</v>
      </c>
    </row>
    <row r="49" spans="1:7" x14ac:dyDescent="0.3">
      <c r="A49" s="2">
        <v>10</v>
      </c>
      <c r="C49" s="38" t="s">
        <v>22</v>
      </c>
      <c r="D49" s="42">
        <f>TRUNC(20143,-1)</f>
        <v>20140</v>
      </c>
      <c r="E49" s="63">
        <f t="shared" si="1"/>
        <v>66570</v>
      </c>
    </row>
    <row r="50" spans="1:7" x14ac:dyDescent="0.3">
      <c r="A50" s="2">
        <v>11</v>
      </c>
      <c r="C50" s="38" t="s">
        <v>154</v>
      </c>
      <c r="D50" s="42">
        <f>TRUNC(59989,-1)</f>
        <v>59980</v>
      </c>
      <c r="E50" s="63">
        <f t="shared" si="1"/>
        <v>198280</v>
      </c>
    </row>
    <row r="51" spans="1:7" x14ac:dyDescent="0.3">
      <c r="A51" s="2">
        <v>12</v>
      </c>
      <c r="C51" s="38" t="s">
        <v>23</v>
      </c>
      <c r="D51" s="42">
        <f>TRUNC(22050,-1)</f>
        <v>22050</v>
      </c>
      <c r="E51" s="63">
        <f t="shared" si="1"/>
        <v>72890</v>
      </c>
    </row>
    <row r="52" spans="1:7" x14ac:dyDescent="0.3">
      <c r="A52" s="2">
        <v>13</v>
      </c>
      <c r="C52" s="38" t="s">
        <v>24</v>
      </c>
      <c r="D52" s="42">
        <f>TRUNC(15602,-1)</f>
        <v>15600</v>
      </c>
      <c r="E52" s="63">
        <f t="shared" si="1"/>
        <v>51570</v>
      </c>
    </row>
    <row r="53" spans="1:7" x14ac:dyDescent="0.3">
      <c r="A53" s="2">
        <v>14</v>
      </c>
      <c r="C53" s="38" t="s">
        <v>25</v>
      </c>
      <c r="D53" s="42">
        <f>TRUNC(109137,-1)</f>
        <v>109130</v>
      </c>
      <c r="E53" s="63">
        <f t="shared" si="1"/>
        <v>360760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TRUNC(57,-1)</f>
        <v>50</v>
      </c>
      <c r="E55" s="63">
        <f t="shared" si="1"/>
        <v>160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TRUNC(19079+5168,-1)</f>
        <v>24240</v>
      </c>
      <c r="E58" s="63">
        <f t="shared" si="1"/>
        <v>80130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TRUNC(125724.900614807,-1)</f>
        <v>125720</v>
      </c>
      <c r="E59" s="64">
        <f t="shared" si="1"/>
        <v>415600</v>
      </c>
    </row>
    <row r="60" spans="1:7" x14ac:dyDescent="0.3">
      <c r="A60" s="2">
        <v>21</v>
      </c>
      <c r="C60" s="27" t="s">
        <v>112</v>
      </c>
      <c r="D60" s="39">
        <f>SUM(D40:D59)</f>
        <v>913090</v>
      </c>
      <c r="E60" s="39">
        <f>SUM(E40:E59)</f>
        <v>3018410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240</v>
      </c>
      <c r="G62" s="55"/>
    </row>
    <row r="63" spans="1:7" x14ac:dyDescent="0.3">
      <c r="A63" s="2">
        <v>1</v>
      </c>
      <c r="C63" s="38" t="s">
        <v>27</v>
      </c>
      <c r="D63" s="40">
        <f>TRUNC(1214,-1)</f>
        <v>1210</v>
      </c>
      <c r="E63" s="62">
        <f>TRUNC(+D63*3.3058,-1)</f>
        <v>4000</v>
      </c>
      <c r="F63" s="2" t="s">
        <v>252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1210</v>
      </c>
      <c r="E66" s="65">
        <f>SUM(E63:E65)</f>
        <v>4000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240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TRUNC(64226.0720054186,-1)</f>
        <v>64220</v>
      </c>
      <c r="E93" s="63">
        <f t="shared" si="2"/>
        <v>212290</v>
      </c>
    </row>
    <row r="94" spans="1:7" ht="17.25" thickBot="1" x14ac:dyDescent="0.35">
      <c r="A94" s="2">
        <v>26</v>
      </c>
      <c r="C94" s="38" t="s">
        <v>47</v>
      </c>
      <c r="D94" s="43">
        <f>TRUNC(281169,-1)</f>
        <v>281160</v>
      </c>
      <c r="E94" s="64">
        <f t="shared" si="2"/>
        <v>929450</v>
      </c>
    </row>
    <row r="95" spans="1:7" x14ac:dyDescent="0.3">
      <c r="A95" s="2">
        <v>27</v>
      </c>
      <c r="C95" s="27" t="s">
        <v>112</v>
      </c>
      <c r="D95" s="39">
        <f>SUM(D69:D94)</f>
        <v>345380</v>
      </c>
      <c r="E95" s="39">
        <f>SUM(E69:E94)</f>
        <v>1141740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240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TRUNC(60576.6164747564,-1)</f>
        <v>60570</v>
      </c>
      <c r="E117" s="63">
        <f t="shared" si="3"/>
        <v>200230</v>
      </c>
    </row>
    <row r="118" spans="1:7" ht="17.25" thickBot="1" x14ac:dyDescent="0.35">
      <c r="A118" s="2">
        <v>21</v>
      </c>
      <c r="C118" s="38" t="s">
        <v>47</v>
      </c>
      <c r="D118" s="43">
        <f>TRUNC(193945,-1)</f>
        <v>193940</v>
      </c>
      <c r="E118" s="64">
        <f t="shared" si="3"/>
        <v>641120</v>
      </c>
    </row>
    <row r="119" spans="1:7" x14ac:dyDescent="0.3">
      <c r="A119" s="2">
        <v>22</v>
      </c>
      <c r="C119" s="27" t="s">
        <v>112</v>
      </c>
      <c r="D119" s="39">
        <f>SUM(D98:D118)</f>
        <v>254510</v>
      </c>
      <c r="E119" s="39">
        <f>SUM(E98:E118)</f>
        <v>841350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240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TRUNC(50887.5631740739,-1)</f>
        <v>50880</v>
      </c>
      <c r="E131" s="63">
        <f t="shared" si="4"/>
        <v>168190</v>
      </c>
    </row>
    <row r="132" spans="1:7" ht="18" thickBot="1" x14ac:dyDescent="0.35">
      <c r="A132" s="2">
        <v>11</v>
      </c>
      <c r="C132" s="38" t="s">
        <v>47</v>
      </c>
      <c r="D132" s="43">
        <f>TRUNC(189713,-1)</f>
        <v>189710</v>
      </c>
      <c r="E132" s="64">
        <f t="shared" si="4"/>
        <v>627140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240590</v>
      </c>
      <c r="E133" s="39">
        <f>SUM(E122:E132)</f>
        <v>795330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240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240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TRUNC(-2230+125743,-1)</f>
        <v>123510</v>
      </c>
      <c r="E152" s="63">
        <f>TRUNC(+D152*3.3058,-1)</f>
        <v>408290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TRUNC(30437.9973167301,-1)</f>
        <v>30430</v>
      </c>
      <c r="E153" s="64">
        <f>TRUNC(+D153*3.3058,-1)</f>
        <v>100590</v>
      </c>
    </row>
    <row r="154" spans="1:7" x14ac:dyDescent="0.3">
      <c r="A154" s="2">
        <v>6</v>
      </c>
      <c r="C154" s="27" t="s">
        <v>112</v>
      </c>
      <c r="D154" s="39">
        <f>SUM(D149:D153)</f>
        <v>153940</v>
      </c>
      <c r="E154" s="39">
        <f>SUM(E149:E153)</f>
        <v>508880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240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2020-12-07T09:27:20Z</dcterms:modified>
</cp:coreProperties>
</file>