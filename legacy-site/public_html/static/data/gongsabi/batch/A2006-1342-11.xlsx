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9" i="4"/>
  <c r="E145" i="4"/>
  <c r="E144" i="4"/>
  <c r="E143" i="4"/>
  <c r="E142" i="4"/>
  <c r="E141" i="4"/>
  <c r="E140" i="4"/>
  <c r="E139" i="4"/>
  <c r="E138" i="4"/>
  <c r="E137" i="4"/>
  <c r="E130" i="4"/>
  <c r="E129" i="4"/>
  <c r="E127" i="4"/>
  <c r="E116" i="4"/>
  <c r="E114" i="4"/>
  <c r="E113" i="4"/>
  <c r="E112" i="4"/>
  <c r="E111" i="4"/>
  <c r="E110" i="4"/>
  <c r="E109" i="4"/>
  <c r="E108" i="4"/>
  <c r="E107" i="4"/>
  <c r="E106" i="4"/>
  <c r="E103" i="4"/>
  <c r="E92" i="4"/>
  <c r="E91" i="4"/>
  <c r="E89" i="4"/>
  <c r="E88" i="4"/>
  <c r="E87" i="4"/>
  <c r="E86" i="4"/>
  <c r="E85" i="4"/>
  <c r="E83" i="4"/>
  <c r="E82" i="4"/>
  <c r="E80" i="4"/>
  <c r="E79" i="4"/>
  <c r="E78" i="4"/>
  <c r="E77" i="4"/>
  <c r="E76" i="4"/>
  <c r="E74" i="4"/>
  <c r="E73" i="4"/>
  <c r="E64" i="4"/>
  <c r="E57" i="4"/>
  <c r="E56" i="4"/>
  <c r="E47" i="4"/>
  <c r="D159" i="4" l="1"/>
  <c r="E159" i="4" s="1"/>
  <c r="D158" i="4"/>
  <c r="E158" i="4" s="1"/>
  <c r="D157" i="4"/>
  <c r="E157" i="4" s="1"/>
  <c r="E161" i="4" s="1"/>
  <c r="D152" i="4"/>
  <c r="E152" i="4" s="1"/>
  <c r="E154" i="4" s="1"/>
  <c r="D150" i="4"/>
  <c r="E150" i="4" s="1"/>
  <c r="D136" i="4"/>
  <c r="E136" i="4" s="1"/>
  <c r="E146" i="4" s="1"/>
  <c r="D132" i="4"/>
  <c r="E132" i="4" s="1"/>
  <c r="D131" i="4"/>
  <c r="E131" i="4" s="1"/>
  <c r="D128" i="4"/>
  <c r="E128" i="4" s="1"/>
  <c r="D126" i="4"/>
  <c r="E126" i="4" s="1"/>
  <c r="D125" i="4"/>
  <c r="E125" i="4" s="1"/>
  <c r="D124" i="4"/>
  <c r="E124" i="4" s="1"/>
  <c r="D123" i="4"/>
  <c r="E123" i="4" s="1"/>
  <c r="D122" i="4"/>
  <c r="E122" i="4" s="1"/>
  <c r="D118" i="4"/>
  <c r="E118" i="4" s="1"/>
  <c r="D117" i="4"/>
  <c r="E117" i="4" s="1"/>
  <c r="D115" i="4"/>
  <c r="E115" i="4" s="1"/>
  <c r="D105" i="4"/>
  <c r="E105" i="4" s="1"/>
  <c r="D104" i="4"/>
  <c r="E104" i="4" s="1"/>
  <c r="D102" i="4"/>
  <c r="E102" i="4" s="1"/>
  <c r="D101" i="4"/>
  <c r="E101" i="4" s="1"/>
  <c r="D100" i="4"/>
  <c r="E100" i="4" s="1"/>
  <c r="D99" i="4"/>
  <c r="E99" i="4" s="1"/>
  <c r="D98" i="4"/>
  <c r="E98" i="4" s="1"/>
  <c r="D94" i="4"/>
  <c r="E94" i="4" s="1"/>
  <c r="D93" i="4"/>
  <c r="E93" i="4" s="1"/>
  <c r="D90" i="4"/>
  <c r="E90" i="4" s="1"/>
  <c r="D84" i="4"/>
  <c r="E84" i="4" s="1"/>
  <c r="D81" i="4"/>
  <c r="E81" i="4" s="1"/>
  <c r="D75" i="4"/>
  <c r="E75" i="4" s="1"/>
  <c r="D72" i="4"/>
  <c r="E72" i="4" s="1"/>
  <c r="D71" i="4"/>
  <c r="E71" i="4" s="1"/>
  <c r="D70" i="4"/>
  <c r="E70" i="4" s="1"/>
  <c r="D69" i="4"/>
  <c r="E69" i="4" s="1"/>
  <c r="D65" i="4"/>
  <c r="E65" i="4" s="1"/>
  <c r="D63" i="4"/>
  <c r="E63" i="4" s="1"/>
  <c r="E66" i="4" s="1"/>
  <c r="D59" i="4"/>
  <c r="E59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D161" i="4"/>
  <c r="D154" i="4"/>
  <c r="D31" i="4" s="1"/>
  <c r="E31" i="4" s="1"/>
  <c r="D146" i="4"/>
  <c r="D95" i="4"/>
  <c r="D27" i="4" s="1"/>
  <c r="E27" i="4" s="1"/>
  <c r="D24" i="4"/>
  <c r="E24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119" i="4" l="1"/>
  <c r="D28" i="4" s="1"/>
  <c r="E28" i="4" s="1"/>
  <c r="E119" i="4"/>
  <c r="E133" i="4"/>
  <c r="D60" i="4"/>
  <c r="D25" i="4" s="1"/>
  <c r="D133" i="4"/>
  <c r="D29" i="4" s="1"/>
  <c r="E29" i="4" s="1"/>
  <c r="E95" i="4"/>
  <c r="D66" i="4"/>
  <c r="D26" i="4" s="1"/>
  <c r="E26" i="4" s="1"/>
  <c r="E60" i="4"/>
  <c r="E25" i="4" l="1"/>
  <c r="E34" i="4" s="1"/>
  <c r="D33" i="4"/>
  <c r="E33" i="4" s="1"/>
  <c r="D34" i="4" l="1"/>
</calcChain>
</file>

<file path=xl/sharedStrings.xml><?xml version="1.0" encoding="utf-8"?>
<sst xmlns="http://schemas.openxmlformats.org/spreadsheetml/2006/main" count="393" uniqueCount="266">
  <si>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</si>
  <si>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</si>
  <si>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</si>
  <si>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</si>
  <si>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</si>
  <si>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</si>
  <si>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</si>
  <si>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</si>
  <si>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</si>
  <si>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</si>
  <si>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</si>
  <si>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</si>
  <si>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</si>
  <si>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</si>
  <si>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</si>
  <si>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</si>
  <si>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</si>
  <si>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</si>
  <si>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</si>
  <si>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</si>
  <si>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</si>
  <si>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</si>
  <si>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</si>
  <si>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</si>
  <si>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</si>
  <si>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</si>
  <si>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</si>
  <si>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</si>
  <si>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</si>
  <si>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</si>
  <si>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</si>
  <si>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</si>
  <si>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</si>
  <si>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</si>
  <si>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</si>
  <si>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</si>
  <si>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</si>
  <si>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</si>
  <si>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</si>
  <si>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</si>
  <si>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</si>
  <si>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</si>
  <si>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</si>
  <si>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</si>
  <si>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</si>
  <si>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</si>
  <si>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</si>
  <si>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</si>
  <si>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</si>
  <si>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</si>
  <si>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</si>
  <si>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</si>
  <si>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</si>
  <si>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</si>
  <si>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</si>
  <si>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</si>
  <si>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</si>
  <si>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</si>
  <si>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</si>
  <si>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</si>
  <si>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</si>
  <si>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</si>
  <si>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</si>
  <si>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</si>
  <si>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</si>
  <si>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</si>
  <si>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</si>
  <si>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</si>
  <si>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</si>
  <si>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</si>
  <si>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</si>
  <si>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</si>
  <si>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</si>
  <si>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</si>
  <si>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</si>
  <si>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</si>
  <si>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</si>
  <si>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</si>
  <si>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</si>
  <si>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</si>
  <si>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</si>
  <si>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</si>
  <si>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</si>
  <si>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</si>
  <si>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</si>
  <si>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</si>
  <si>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</si>
  <si>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</si>
  <si>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</si>
  <si>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</si>
  <si>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</si>
  <si>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</si>
  <si>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</si>
  <si>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</si>
  <si>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</si>
  <si>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</si>
  <si>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</si>
  <si>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</si>
  <si>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</si>
  <si>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</si>
  <si>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</si>
  <si>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</si>
  <si>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</si>
  <si>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</si>
  <si>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</si>
  <si>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</si>
  <si>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</si>
  <si>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</si>
  <si>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</si>
  <si>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</si>
  <si>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</si>
  <si>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</si>
  <si>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</si>
  <si>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</si>
  <si>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</si>
  <si>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</si>
  <si>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</si>
  <si>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</si>
  <si>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</si>
  <si>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</si>
  <si>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</si>
  <si>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</si>
  <si>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</si>
  <si>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</si>
  <si>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</si>
  <si>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</si>
  <si>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</si>
  <si>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</si>
  <si>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</si>
  <si>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</si>
  <si>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</si>
  <si>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</si>
  <si>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</si>
  <si>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</si>
  <si>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</si>
  <si>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</si>
  <si>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</si>
  <si>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</si>
  <si>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</si>
  <si>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</si>
  <si>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</si>
  <si>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</si>
  <si>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</si>
  <si>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</si>
  <si>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</si>
  <si>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</si>
  <si>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</si>
  <si>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</si>
  <si>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</si>
  <si>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</si>
  <si>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</si>
  <si>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</si>
  <si>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</si>
  <si>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</si>
  <si>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</si>
  <si>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</si>
  <si>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</si>
  <si>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</si>
  <si>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</si>
  <si>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</si>
  <si>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</si>
  <si>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</si>
  <si>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</si>
  <si>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</si>
  <si>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</si>
  <si>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</si>
  <si>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</si>
  <si>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</si>
  <si>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</si>
  <si>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</si>
  <si>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</si>
  <si>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</si>
  <si>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</si>
  <si>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</si>
  <si>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</si>
  <si>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</si>
  <si>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</si>
  <si>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</si>
  <si>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</si>
  <si>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</si>
  <si>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</si>
  <si>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</si>
  <si>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</si>
  <si>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</si>
  <si>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</si>
  <si>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</si>
  <si>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</si>
  <si>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</si>
  <si>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</si>
  <si>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</si>
  <si>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</si>
  <si>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</si>
  <si>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</si>
  <si>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</si>
  <si>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</si>
  <si>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</si>
  <si>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</si>
  <si>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</si>
  <si>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</si>
  <si>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</si>
  <si>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</si>
  <si>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</si>
  <si>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</si>
  <si>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</si>
  <si>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</si>
  <si>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</si>
  <si>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</si>
  <si>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</si>
  <si>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</si>
  <si>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</si>
  <si>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</si>
  <si>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</si>
  <si>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</si>
  <si>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</si>
  <si>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</si>
  <si>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</si>
  <si>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</si>
  <si>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</si>
  <si>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</si>
  <si>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</si>
  <si>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</si>
  <si>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</si>
  <si>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</si>
  <si>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</si>
  <si>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</si>
  <si>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</si>
  <si>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</si>
  <si>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</si>
  <si>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</si>
  <si>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</si>
  <si>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</si>
  <si>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</si>
  <si>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</si>
  <si>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</si>
  <si>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</si>
  <si>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</si>
  <si>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</si>
  <si>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</si>
  <si>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</si>
  <si>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</si>
  <si>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</si>
  <si>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</si>
  <si>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</si>
  <si>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</si>
  <si>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</si>
  <si>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</si>
  <si>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</si>
  <si>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</si>
  <si>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</si>
  <si>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</si>
  <si>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지방법원 00지원청사 신축공사</t>
  </si>
  <si>
    <t>잡공사, 대문공사, 골재비, 운반비, 작업부산물</t>
    <phoneticPr fontId="2" type="noConversion"/>
  </si>
  <si>
    <t>도급자설치관급, 관급자설치관급</t>
    <phoneticPr fontId="2" type="noConversion"/>
  </si>
  <si>
    <t>조경포장공사</t>
  </si>
  <si>
    <t>배수공사, 자재대, 운반비, 계측관리비</t>
    <phoneticPr fontId="2" type="noConversion"/>
  </si>
  <si>
    <t>공조배관공사, 환기덕트설치공사, 위생배관공사, 지열냉난방설치공사</t>
    <phoneticPr fontId="2" type="noConversion"/>
  </si>
  <si>
    <t>경관조명설비공사</t>
    <phoneticPr fontId="2" type="noConversion"/>
  </si>
  <si>
    <t>전화설비공사</t>
  </si>
  <si>
    <t>CCTV 및 출입통제설비공사, 가설공사</t>
    <phoneticPr fontId="2" type="noConversion"/>
  </si>
  <si>
    <t>옥외전기공사, 자탐간선설비공사, 감지기설비공사, 유도등설비공사, 무선통신설비공사, 가설공사</t>
    <phoneticPr fontId="2" type="noConversion"/>
  </si>
  <si>
    <t>관급자설치관급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</si>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</sst>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237</v>
      </c>
    </row>
    <row r="7" spans="1:4" ht="17.25" thickBot="1" x14ac:dyDescent="0.35">
      <c r="C7" s="37">
        <v>19178</v>
      </c>
      <c r="D7" s="36">
        <f>+C7/3.3058</f>
        <v>5801.318894064977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236</v>
      </c>
    </row>
    <row r="24" spans="1:5" x14ac:dyDescent="0.3">
      <c r="B24" s="2">
        <v>1</v>
      </c>
      <c r="C24" s="35" t="s">
        <v>110</v>
      </c>
      <c r="D24" s="41">
        <f>+D37</f>
        <v>21090</v>
      </c>
      <c r="E24" s="58">
        <f t="shared" ref="E24:E33" si="0">TRUNC(+D24*3.3058,-1)</f>
        <v>69710</v>
      </c>
    </row>
    <row r="25" spans="1:5" x14ac:dyDescent="0.3">
      <c r="B25" s="2">
        <v>2</v>
      </c>
      <c r="C25" s="35" t="s">
        <v>111</v>
      </c>
      <c r="D25" s="45">
        <f>+D60</f>
        <v>750560</v>
      </c>
      <c r="E25" s="59">
        <f t="shared" si="0"/>
        <v>2481200</v>
      </c>
    </row>
    <row r="26" spans="1:5" x14ac:dyDescent="0.3">
      <c r="B26" s="2">
        <v>3</v>
      </c>
      <c r="C26" s="35" t="s">
        <v>95</v>
      </c>
      <c r="D26" s="45">
        <f>+D66</f>
        <v>28730</v>
      </c>
      <c r="E26" s="59">
        <f t="shared" si="0"/>
        <v>94970</v>
      </c>
    </row>
    <row r="27" spans="1:5" x14ac:dyDescent="0.3">
      <c r="B27" s="2">
        <v>4</v>
      </c>
      <c r="C27" s="35" t="s">
        <v>96</v>
      </c>
      <c r="D27" s="45">
        <f>+D95</f>
        <v>225970</v>
      </c>
      <c r="E27" s="59">
        <f t="shared" si="0"/>
        <v>747010</v>
      </c>
    </row>
    <row r="28" spans="1:5" x14ac:dyDescent="0.3">
      <c r="B28" s="2">
        <v>5</v>
      </c>
      <c r="C28" s="35" t="s">
        <v>97</v>
      </c>
      <c r="D28" s="45">
        <f>+D119</f>
        <v>105530</v>
      </c>
      <c r="E28" s="59">
        <f t="shared" si="0"/>
        <v>348860</v>
      </c>
    </row>
    <row r="29" spans="1:5" x14ac:dyDescent="0.3">
      <c r="B29" s="2">
        <v>6</v>
      </c>
      <c r="C29" s="35" t="s">
        <v>98</v>
      </c>
      <c r="D29" s="45">
        <f>+D133</f>
        <v>47810</v>
      </c>
      <c r="E29" s="59">
        <f t="shared" si="0"/>
        <v>158050</v>
      </c>
    </row>
    <row r="30" spans="1:5" x14ac:dyDescent="0.3">
      <c r="B30" s="2">
        <v>7</v>
      </c>
      <c r="C30" s="35" t="s">
        <v>99</v>
      </c>
      <c r="D30" s="45">
        <f>+D146</f>
        <v>41610</v>
      </c>
      <c r="E30" s="59">
        <f t="shared" si="0"/>
        <v>137550</v>
      </c>
    </row>
    <row r="31" spans="1:5" x14ac:dyDescent="0.3">
      <c r="B31" s="2">
        <v>8</v>
      </c>
      <c r="C31" s="35" t="s">
        <v>100</v>
      </c>
      <c r="D31" s="45">
        <f>+D154</f>
        <v>6450</v>
      </c>
      <c r="E31" s="59">
        <f t="shared" si="0"/>
        <v>21320</v>
      </c>
    </row>
    <row r="32" spans="1:5" x14ac:dyDescent="0.3">
      <c r="B32" s="2">
        <v>9</v>
      </c>
      <c r="C32" s="35" t="s">
        <v>101</v>
      </c>
      <c r="D32" s="45">
        <f>+D161</f>
        <v>27330</v>
      </c>
      <c r="E32" s="59">
        <f t="shared" si="0"/>
        <v>90340</v>
      </c>
    </row>
    <row r="33" spans="1:7" x14ac:dyDescent="0.3">
      <c r="B33" s="2">
        <v>10</v>
      </c>
      <c r="C33" s="35" t="s">
        <v>153</v>
      </c>
      <c r="D33" s="53">
        <f>TRUNC(SUM(D24:D32)*0.275,-1)</f>
        <v>345140</v>
      </c>
      <c r="E33" s="60">
        <f t="shared" si="0"/>
        <v>1140960</v>
      </c>
    </row>
    <row r="34" spans="1:7" x14ac:dyDescent="0.3">
      <c r="C34" s="35" t="s">
        <v>112</v>
      </c>
      <c r="D34" s="44">
        <f>SUM(D24:D33)</f>
        <v>1600220</v>
      </c>
      <c r="E34" s="44">
        <f>SUM(E24:E33)</f>
        <v>5289970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235</v>
      </c>
      <c r="E36" s="57" t="s">
        <v>236</v>
      </c>
      <c r="G36" s="55"/>
    </row>
    <row r="37" spans="1:7" ht="17.25" thickBot="1" x14ac:dyDescent="0.35">
      <c r="C37" s="38" t="s">
        <v>143</v>
      </c>
      <c r="D37" s="52">
        <f>TRUNC(21099.966367713,-1)</f>
        <v>21090</v>
      </c>
      <c r="E37" s="61">
        <f>TRUNC(+D37*3.3058,-1)</f>
        <v>69710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243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TRUNC(29638.7381895922,-1)</f>
        <v>29630</v>
      </c>
      <c r="E40" s="62">
        <f t="shared" ref="E40:E59" si="1">TRUNC(+D40*3.3058,-1)</f>
        <v>97950</v>
      </c>
    </row>
    <row r="41" spans="1:7" x14ac:dyDescent="0.3">
      <c r="A41" s="2">
        <v>2</v>
      </c>
      <c r="C41" s="38" t="s">
        <v>13</v>
      </c>
      <c r="D41" s="42">
        <f>TRUNC(97130.8561893837,-1)</f>
        <v>97130</v>
      </c>
      <c r="E41" s="63">
        <f t="shared" si="1"/>
        <v>321090</v>
      </c>
    </row>
    <row r="42" spans="1:7" x14ac:dyDescent="0.3">
      <c r="A42" s="2">
        <v>3</v>
      </c>
      <c r="C42" s="38" t="s">
        <v>14</v>
      </c>
      <c r="D42" s="42">
        <f>TRUNC(29150.7164980707,-1)</f>
        <v>29150</v>
      </c>
      <c r="E42" s="63">
        <f t="shared" si="1"/>
        <v>96360</v>
      </c>
    </row>
    <row r="43" spans="1:7" x14ac:dyDescent="0.3">
      <c r="A43" s="2">
        <v>4</v>
      </c>
      <c r="C43" s="38" t="s">
        <v>16</v>
      </c>
      <c r="D43" s="42">
        <f>TRUNC(45395.0332672854,-1)</f>
        <v>45390</v>
      </c>
      <c r="E43" s="63">
        <f t="shared" si="1"/>
        <v>150050</v>
      </c>
    </row>
    <row r="44" spans="1:7" x14ac:dyDescent="0.3">
      <c r="A44" s="2">
        <v>5</v>
      </c>
      <c r="C44" s="38" t="s">
        <v>17</v>
      </c>
      <c r="D44" s="42">
        <f>TRUNC(16178.4849306497,-1)</f>
        <v>16170</v>
      </c>
      <c r="E44" s="63">
        <f t="shared" si="1"/>
        <v>53450</v>
      </c>
    </row>
    <row r="45" spans="1:7" x14ac:dyDescent="0.3">
      <c r="A45" s="2">
        <v>6</v>
      </c>
      <c r="C45" s="38" t="s">
        <v>18</v>
      </c>
      <c r="D45" s="42">
        <f>TRUNC(2510.95369694442,-1)</f>
        <v>2510</v>
      </c>
      <c r="E45" s="63">
        <f t="shared" si="1"/>
        <v>8290</v>
      </c>
    </row>
    <row r="46" spans="1:7" x14ac:dyDescent="0.3">
      <c r="A46" s="2">
        <v>7</v>
      </c>
      <c r="C46" s="38" t="s">
        <v>19</v>
      </c>
      <c r="D46" s="42">
        <f>TRUNC(19860.9899363854,-1)</f>
        <v>19860</v>
      </c>
      <c r="E46" s="63">
        <f t="shared" si="1"/>
        <v>65650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TRUNC(60932.4165189279,-1)</f>
        <v>60930</v>
      </c>
      <c r="E48" s="63">
        <f t="shared" si="1"/>
        <v>201420</v>
      </c>
    </row>
    <row r="49" spans="1:7" x14ac:dyDescent="0.3">
      <c r="A49" s="2">
        <v>10</v>
      </c>
      <c r="C49" s="38" t="s">
        <v>22</v>
      </c>
      <c r="D49" s="42">
        <f>TRUNC(19715.6656585671,-1)</f>
        <v>19710</v>
      </c>
      <c r="E49" s="63">
        <f t="shared" si="1"/>
        <v>65150</v>
      </c>
    </row>
    <row r="50" spans="1:7" x14ac:dyDescent="0.3">
      <c r="A50" s="2">
        <v>11</v>
      </c>
      <c r="C50" s="38" t="s">
        <v>154</v>
      </c>
      <c r="D50" s="42">
        <f>TRUNC(90210.6124204818,-1)</f>
        <v>90210</v>
      </c>
      <c r="E50" s="63">
        <f t="shared" si="1"/>
        <v>298210</v>
      </c>
    </row>
    <row r="51" spans="1:7" x14ac:dyDescent="0.3">
      <c r="A51" s="2">
        <v>12</v>
      </c>
      <c r="C51" s="38" t="s">
        <v>23</v>
      </c>
      <c r="D51" s="42">
        <f>TRUNC(26859.1208676609,-1)</f>
        <v>26850</v>
      </c>
      <c r="E51" s="63">
        <f t="shared" si="1"/>
        <v>88760</v>
      </c>
    </row>
    <row r="52" spans="1:7" x14ac:dyDescent="0.3">
      <c r="A52" s="2">
        <v>13</v>
      </c>
      <c r="C52" s="38" t="s">
        <v>24</v>
      </c>
      <c r="D52" s="42">
        <f>TRUNC(12079.0049535927,-1)</f>
        <v>12070</v>
      </c>
      <c r="E52" s="63">
        <f t="shared" si="1"/>
        <v>39900</v>
      </c>
    </row>
    <row r="53" spans="1:7" x14ac:dyDescent="0.3">
      <c r="A53" s="2">
        <v>14</v>
      </c>
      <c r="C53" s="38" t="s">
        <v>25</v>
      </c>
      <c r="D53" s="42">
        <f>TRUNC(63403.0359787256,-1)</f>
        <v>63400</v>
      </c>
      <c r="E53" s="63">
        <f t="shared" si="1"/>
        <v>209580</v>
      </c>
    </row>
    <row r="54" spans="1:7" x14ac:dyDescent="0.3">
      <c r="A54" s="2">
        <v>15</v>
      </c>
      <c r="C54" s="38" t="s">
        <v>147</v>
      </c>
      <c r="D54" s="42">
        <f>TRUNC(34677.7436646157,-1)</f>
        <v>34670</v>
      </c>
      <c r="E54" s="63">
        <f t="shared" si="1"/>
        <v>114610</v>
      </c>
    </row>
    <row r="55" spans="1:7" x14ac:dyDescent="0.3">
      <c r="A55" s="2">
        <v>16</v>
      </c>
      <c r="C55" s="38" t="s">
        <v>144</v>
      </c>
      <c r="D55" s="42">
        <f>TRUNC(516.971582021066,-1)</f>
        <v>510</v>
      </c>
      <c r="E55" s="63">
        <f t="shared" si="1"/>
        <v>1680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TRUNC(16433.3129106268+4327.65794139118+1731.30670560017+1516.35144436333-604.626134112003,-1)</f>
        <v>23400</v>
      </c>
      <c r="E58" s="63">
        <f t="shared" si="1"/>
        <v>77350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TRUNC(108581.186776515+70393.1588278235,-1)</f>
        <v>178970</v>
      </c>
      <c r="E59" s="64">
        <f t="shared" si="1"/>
        <v>591630</v>
      </c>
      <c r="F59" s="2" t="s">
        <v>252</v>
      </c>
    </row>
    <row r="60" spans="1:7" x14ac:dyDescent="0.3">
      <c r="A60" s="2">
        <v>21</v>
      </c>
      <c r="C60" s="27" t="s">
        <v>112</v>
      </c>
      <c r="D60" s="39">
        <f>SUM(D40:D59)</f>
        <v>750560</v>
      </c>
      <c r="E60" s="39">
        <f>SUM(E40:E59)</f>
        <v>2481130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236</v>
      </c>
      <c r="G62" s="55"/>
    </row>
    <row r="63" spans="1:7" x14ac:dyDescent="0.3">
      <c r="A63" s="2">
        <v>1</v>
      </c>
      <c r="C63" s="38" t="s">
        <v>27</v>
      </c>
      <c r="D63" s="40">
        <f>TRUNC(16128.949525498,-1)</f>
        <v>16120</v>
      </c>
      <c r="E63" s="62">
        <f>TRUNC(+D63*3.3058,-1)</f>
        <v>53280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TRUNC(12613.3916466785,-1)</f>
        <v>12610</v>
      </c>
      <c r="E65" s="64">
        <f>TRUNC(+D65*3.3058,-1)</f>
        <v>41680</v>
      </c>
    </row>
    <row r="66" spans="1:7" x14ac:dyDescent="0.3">
      <c r="A66" s="2">
        <v>4</v>
      </c>
      <c r="C66" s="27" t="s">
        <v>112</v>
      </c>
      <c r="D66" s="39">
        <f>SUM(D63:D65)</f>
        <v>28730</v>
      </c>
      <c r="E66" s="65">
        <f>SUM(E63:E65)</f>
        <v>94960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235</v>
      </c>
      <c r="E68" s="57" t="s">
        <v>236</v>
      </c>
      <c r="G68" s="55"/>
    </row>
    <row r="69" spans="1:7" x14ac:dyDescent="0.3">
      <c r="A69" s="2">
        <v>1</v>
      </c>
      <c r="C69" s="38" t="s">
        <v>30</v>
      </c>
      <c r="D69" s="40">
        <f>TRUNC(30301.5042235895,-1)</f>
        <v>30300</v>
      </c>
      <c r="E69" s="62">
        <f>TRUNC(+D69*3.3058,-1)</f>
        <v>100160</v>
      </c>
    </row>
    <row r="70" spans="1:7" ht="16.5" customHeight="1" x14ac:dyDescent="0.3">
      <c r="A70" s="2">
        <v>2</v>
      </c>
      <c r="C70" s="38" t="s">
        <v>31</v>
      </c>
      <c r="D70" s="42">
        <f>TRUNC(637.98128063406,-1)</f>
        <v>630</v>
      </c>
      <c r="E70" s="63">
        <f>TRUNC(+D70*3.3058,-1)</f>
        <v>2080</v>
      </c>
    </row>
    <row r="71" spans="1:7" x14ac:dyDescent="0.3">
      <c r="A71" s="2">
        <v>3</v>
      </c>
      <c r="C71" s="38" t="s">
        <v>32</v>
      </c>
      <c r="D71" s="42">
        <f>TRUNC(16725.8464907707,-1)</f>
        <v>16720</v>
      </c>
      <c r="E71" s="63">
        <f t="shared" ref="E71:E73" si="2">TRUNC(+D71*3.3058,-1)</f>
        <v>55270</v>
      </c>
    </row>
    <row r="72" spans="1:7" x14ac:dyDescent="0.3">
      <c r="A72" s="2">
        <v>4</v>
      </c>
      <c r="C72" s="38" t="s">
        <v>33</v>
      </c>
      <c r="D72" s="42">
        <f>TRUNC(1916.23015955783,-1)</f>
        <v>1910</v>
      </c>
      <c r="E72" s="63">
        <f t="shared" si="2"/>
        <v>6310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TRUNC(3297.75258108249,-1)</f>
        <v>3290</v>
      </c>
      <c r="E75" s="63">
        <f>TRUNC(+D75*3.3058,-1)</f>
        <v>10870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TRUNC(22081.1596621128,-1)</f>
        <v>22080</v>
      </c>
      <c r="E81" s="63">
        <f t="shared" si="3"/>
        <v>72990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TRUNC(1034.91385963083,-1)</f>
        <v>1030</v>
      </c>
      <c r="E84" s="63">
        <f>TRUNC(+D84*3.3058,-1)</f>
        <v>3400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f>TRUNC(1784.96104911878,-1)</f>
        <v>1780</v>
      </c>
      <c r="E90" s="63">
        <f>TRUNC(+D90*3.3058,-1)</f>
        <v>5880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TRUNC(21855.2508082177,-1)</f>
        <v>21850</v>
      </c>
      <c r="E93" s="63">
        <f>TRUNC(+D93*3.3058,-1)</f>
        <v>72230</v>
      </c>
      <c r="F93" s="2" t="s">
        <v>260</v>
      </c>
    </row>
    <row r="94" spans="1:7" ht="17.25" thickBot="1" x14ac:dyDescent="0.35">
      <c r="A94" s="2">
        <v>26</v>
      </c>
      <c r="C94" s="38" t="s">
        <v>47</v>
      </c>
      <c r="D94" s="43">
        <f>TRUNC(32065.1192512254+40046.1208676609+26927.8071227448+25357.2754718949+1989.15392637397,-1)</f>
        <v>126380</v>
      </c>
      <c r="E94" s="64">
        <f>TRUNC(+D94*3.3058,-1)</f>
        <v>417780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225970</v>
      </c>
      <c r="E95" s="39">
        <f>SUM(E69:E94)</f>
        <v>746970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235</v>
      </c>
      <c r="E97" s="57" t="s">
        <v>236</v>
      </c>
      <c r="G97" s="55"/>
    </row>
    <row r="98" spans="1:7" x14ac:dyDescent="0.3">
      <c r="A98" s="2">
        <v>1</v>
      </c>
      <c r="C98" s="38" t="s">
        <v>39</v>
      </c>
      <c r="D98" s="40">
        <f>TRUNC(11278.5374387319,-1)</f>
        <v>11270</v>
      </c>
      <c r="E98" s="62">
        <f t="shared" ref="E98:E118" si="4">TRUNC(+D98*3.3058,-1)</f>
        <v>37250</v>
      </c>
    </row>
    <row r="99" spans="1:7" x14ac:dyDescent="0.3">
      <c r="A99" s="2">
        <v>2</v>
      </c>
      <c r="C99" s="38" t="s">
        <v>40</v>
      </c>
      <c r="D99" s="42">
        <f>TRUNC(7959.50500573574,-1)</f>
        <v>7950</v>
      </c>
      <c r="E99" s="63">
        <f t="shared" si="4"/>
        <v>26280</v>
      </c>
    </row>
    <row r="100" spans="1:7" x14ac:dyDescent="0.3">
      <c r="A100" s="2">
        <v>3</v>
      </c>
      <c r="C100" s="38" t="s">
        <v>41</v>
      </c>
      <c r="D100" s="42">
        <f>TRUNC(36608.1074147461,-1)</f>
        <v>36600</v>
      </c>
      <c r="E100" s="63">
        <f t="shared" si="4"/>
        <v>120990</v>
      </c>
    </row>
    <row r="101" spans="1:7" x14ac:dyDescent="0.3">
      <c r="A101" s="2">
        <v>4</v>
      </c>
      <c r="C101" s="38" t="s">
        <v>42</v>
      </c>
      <c r="D101" s="42">
        <f>TRUNC(1743.65642924184,-1)</f>
        <v>1740</v>
      </c>
      <c r="E101" s="63">
        <f t="shared" si="4"/>
        <v>5750</v>
      </c>
      <c r="F101" s="2" t="s">
        <v>256</v>
      </c>
    </row>
    <row r="102" spans="1:7" x14ac:dyDescent="0.3">
      <c r="A102" s="2">
        <v>5</v>
      </c>
      <c r="C102" s="38" t="s">
        <v>43</v>
      </c>
      <c r="D102" s="42">
        <f>TRUNC(8486.97460631974,-1)</f>
        <v>8480</v>
      </c>
      <c r="E102" s="63">
        <f t="shared" si="4"/>
        <v>28030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TRUNC(2022.41511106476,-1)</f>
        <v>2020</v>
      </c>
      <c r="E104" s="63">
        <f t="shared" si="4"/>
        <v>6670</v>
      </c>
    </row>
    <row r="105" spans="1:7" x14ac:dyDescent="0.3">
      <c r="A105" s="2">
        <v>8</v>
      </c>
      <c r="C105" s="38" t="s">
        <v>46</v>
      </c>
      <c r="D105" s="42">
        <f>TRUNC(1284.87261445406,-1)</f>
        <v>1280</v>
      </c>
      <c r="E105" s="63">
        <f t="shared" si="4"/>
        <v>4230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f>TRUNC(13159.2189487955,-1)</f>
        <v>13150</v>
      </c>
      <c r="E115" s="63">
        <f t="shared" si="4"/>
        <v>43470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TRUNC(4358.64010845761,-1)</f>
        <v>4350</v>
      </c>
      <c r="E117" s="63">
        <f t="shared" si="4"/>
        <v>14380</v>
      </c>
      <c r="F117" s="2" t="s">
        <v>260</v>
      </c>
    </row>
    <row r="118" spans="1:7" ht="17.25" thickBot="1" x14ac:dyDescent="0.35">
      <c r="A118" s="2">
        <v>21</v>
      </c>
      <c r="C118" s="38" t="s">
        <v>47</v>
      </c>
      <c r="D118" s="43">
        <f>TRUNC(1876.51564292418+8721.68797580561+2911.70716445928+3169.5734174575+1916.84612576911+99.741578892481,-1)</f>
        <v>18690</v>
      </c>
      <c r="E118" s="64">
        <f t="shared" si="4"/>
        <v>61780</v>
      </c>
      <c r="F118" s="2" t="s">
        <v>259</v>
      </c>
    </row>
    <row r="119" spans="1:7" x14ac:dyDescent="0.3">
      <c r="A119" s="2">
        <v>22</v>
      </c>
      <c r="C119" s="27" t="s">
        <v>112</v>
      </c>
      <c r="D119" s="39">
        <f>SUM(D98:D118)</f>
        <v>105530</v>
      </c>
      <c r="E119" s="39">
        <f>SUM(E98:E118)</f>
        <v>348830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235</v>
      </c>
      <c r="E121" s="57" t="s">
        <v>236</v>
      </c>
      <c r="G121" s="55"/>
    </row>
    <row r="122" spans="1:7" x14ac:dyDescent="0.3">
      <c r="A122" s="2">
        <v>1</v>
      </c>
      <c r="C122" s="38" t="s">
        <v>55</v>
      </c>
      <c r="D122" s="40">
        <f>TRUNC(922.92095108979,-1)</f>
        <v>920</v>
      </c>
      <c r="E122" s="62">
        <f t="shared" ref="E122:E132" si="5">TRUNC(+D122*3.3058,-1)</f>
        <v>3040</v>
      </c>
    </row>
    <row r="123" spans="1:7" x14ac:dyDescent="0.3">
      <c r="A123" s="2">
        <v>2</v>
      </c>
      <c r="C123" s="38" t="s">
        <v>124</v>
      </c>
      <c r="D123" s="42">
        <f>TRUNC(8842.54729377412,-1)</f>
        <v>8840</v>
      </c>
      <c r="E123" s="63">
        <f t="shared" si="5"/>
        <v>29220</v>
      </c>
      <c r="F123" s="2" t="s">
        <v>257</v>
      </c>
    </row>
    <row r="124" spans="1:7" x14ac:dyDescent="0.3">
      <c r="A124" s="2">
        <v>3</v>
      </c>
      <c r="C124" s="38" t="s">
        <v>151</v>
      </c>
      <c r="D124" s="42">
        <f>TRUNC(1733.75289394097,-1)</f>
        <v>1730</v>
      </c>
      <c r="E124" s="63">
        <f t="shared" si="5"/>
        <v>5710</v>
      </c>
    </row>
    <row r="125" spans="1:7" x14ac:dyDescent="0.3">
      <c r="A125" s="2">
        <v>4</v>
      </c>
      <c r="C125" s="38" t="s">
        <v>138</v>
      </c>
      <c r="D125" s="42">
        <f>TRUNC(4415.34310147043,-1)</f>
        <v>4410</v>
      </c>
      <c r="E125" s="63">
        <f t="shared" si="5"/>
        <v>14570</v>
      </c>
    </row>
    <row r="126" spans="1:7" x14ac:dyDescent="0.3">
      <c r="A126" s="2">
        <v>5</v>
      </c>
      <c r="C126" s="38" t="s">
        <v>53</v>
      </c>
      <c r="D126" s="42">
        <f>TRUNC(577.664250703932,-1)</f>
        <v>570</v>
      </c>
      <c r="E126" s="63">
        <f t="shared" si="5"/>
        <v>1880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TRUNC(628.150693502972,-1)</f>
        <v>620</v>
      </c>
      <c r="E128" s="63">
        <f t="shared" si="5"/>
        <v>2040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TRUNC(28379.9144853478,-1)</f>
        <v>28370</v>
      </c>
      <c r="E131" s="63">
        <f t="shared" si="5"/>
        <v>93780</v>
      </c>
      <c r="F131" s="2" t="s">
        <v>260</v>
      </c>
    </row>
    <row r="132" spans="1:7" ht="18" thickBot="1" x14ac:dyDescent="0.35">
      <c r="A132" s="2">
        <v>11</v>
      </c>
      <c r="C132" s="38" t="s">
        <v>47</v>
      </c>
      <c r="D132" s="43">
        <f>TRUNC(2282.22160809261+77.361142976327,-1)</f>
        <v>2350</v>
      </c>
      <c r="E132" s="64">
        <f t="shared" si="5"/>
        <v>7760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47810</v>
      </c>
      <c r="E133" s="39">
        <f>SUM(E122:E132)</f>
        <v>158000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235</v>
      </c>
      <c r="E135" s="57" t="s">
        <v>236</v>
      </c>
      <c r="G135" s="55"/>
    </row>
    <row r="136" spans="1:7" x14ac:dyDescent="0.3">
      <c r="A136" s="2">
        <v>1</v>
      </c>
      <c r="C136" s="38" t="s">
        <v>131</v>
      </c>
      <c r="D136" s="40">
        <f>TRUNC(41617.8132756283,-1)</f>
        <v>41610</v>
      </c>
      <c r="E136" s="62">
        <f t="shared" ref="E136:E145" si="6">TRUNC(+D136*3.3058,-1)</f>
        <v>137550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41610</v>
      </c>
      <c r="E146" s="39">
        <f>SUM(E136:E145)</f>
        <v>137550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235</v>
      </c>
      <c r="E148" s="57" t="s">
        <v>236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TRUNC(1307.15674210032,-1)</f>
        <v>1300</v>
      </c>
      <c r="E150" s="63">
        <f>TRUNC(+D150*3.3058,-1)</f>
        <v>4290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TRUNC(1253.64016060069+3812.43012827198+43.2203045155908+43.2203045155908,-1)</f>
        <v>5150</v>
      </c>
      <c r="E152" s="63">
        <f>TRUNC(+D152*3.3058,-1)</f>
        <v>17020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6450</v>
      </c>
      <c r="E154" s="39">
        <f>SUM(E149:E153)</f>
        <v>21310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235</v>
      </c>
      <c r="E156" s="57" t="s">
        <v>236</v>
      </c>
      <c r="G156" s="55"/>
    </row>
    <row r="157" spans="1:7" x14ac:dyDescent="0.3">
      <c r="A157" s="2">
        <v>1</v>
      </c>
      <c r="C157" s="38" t="s">
        <v>51</v>
      </c>
      <c r="D157" s="40">
        <f>TRUNC(16016.7874648034,-1)</f>
        <v>16010</v>
      </c>
      <c r="E157" s="62">
        <f>TRUNC(+D157*3.3058,-1)</f>
        <v>52920</v>
      </c>
    </row>
    <row r="158" spans="1:7" x14ac:dyDescent="0.3">
      <c r="A158" s="2">
        <v>2</v>
      </c>
      <c r="C158" s="38" t="s">
        <v>52</v>
      </c>
      <c r="D158" s="42">
        <f>TRUNC(6661.26978829909,-1)</f>
        <v>6660</v>
      </c>
      <c r="E158" s="63">
        <f>TRUNC(+D158*3.3058,-1)</f>
        <v>22010</v>
      </c>
    </row>
    <row r="159" spans="1:7" x14ac:dyDescent="0.3">
      <c r="A159" s="2">
        <v>3</v>
      </c>
      <c r="C159" s="38" t="s">
        <v>47</v>
      </c>
      <c r="D159" s="42">
        <f>TRUNC(4668.42679111482,-1)</f>
        <v>4660</v>
      </c>
      <c r="E159" s="63">
        <f>TRUNC(+D159*3.3058,-1)</f>
        <v>15400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27330</v>
      </c>
      <c r="E161" s="39">
        <f>SUM(E157:E160)</f>
        <v>90330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2020-12-07T09:09:41Z</dcterms:modified>
</cp:coreProperties>
</file>