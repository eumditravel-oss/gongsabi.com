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4" i="4"/>
  <c r="D143" i="4"/>
  <c r="D142" i="4"/>
  <c r="D140" i="4"/>
  <c r="D137" i="4"/>
  <c r="D132" i="4"/>
  <c r="D131" i="4"/>
  <c r="D130" i="4"/>
  <c r="D128" i="4"/>
  <c r="D124" i="4"/>
  <c r="D122" i="4"/>
  <c r="D118" i="4"/>
  <c r="D117" i="4"/>
  <c r="D116" i="4"/>
  <c r="D114" i="4"/>
  <c r="D105" i="4"/>
  <c r="D104" i="4"/>
  <c r="D103" i="4"/>
  <c r="D102" i="4"/>
  <c r="D100" i="4"/>
  <c r="D99" i="4"/>
  <c r="D98" i="4"/>
  <c r="D94" i="4"/>
  <c r="D93" i="4"/>
  <c r="D92" i="4"/>
  <c r="D91" i="4"/>
  <c r="D76" i="4"/>
  <c r="D73" i="4"/>
  <c r="D72" i="4"/>
  <c r="D70" i="4"/>
  <c r="D69" i="4"/>
  <c r="D65" i="4"/>
  <c r="D63" i="4"/>
  <c r="D59" i="4"/>
  <c r="D58" i="4"/>
  <c r="D53" i="4"/>
  <c r="D52" i="4"/>
  <c r="D50" i="4"/>
  <c r="D49" i="4"/>
  <c r="D48" i="4"/>
  <c r="D46" i="4"/>
  <c r="D45" i="4"/>
  <c r="D44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<sst xmlns="http://schemas.openxmlformats.org/spreadsheetml/2006/main" count="393" uniqueCount="269">
  <si>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</si>
  <si>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</si>
  <si>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</si>
  <si>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</si>
  <si>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</si>
  <si>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</si>
  <si>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</si>
  <si>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</si>
  <si>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</si>
  <si>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</si>
  <si>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</si>
  <si>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</si>
  <si>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</si>
  <si>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</si>
  <si>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</si>
  <si>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</si>
  <si>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</si>
  <si>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</si>
  <si>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</si>
  <si>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</si>
  <si>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</si>
  <si>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</si>
  <si>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</si>
  <si>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</si>
  <si>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</si>
  <si>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</si>
  <si>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</si>
  <si>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</si>
  <si>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</si>
  <si>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</si>
  <si>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</si>
  <si>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</si>
  <si>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</si>
  <si>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</si>
  <si>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</si>
  <si>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</si>
  <si>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</si>
  <si>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</si>
  <si>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</si>
  <si>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</si>
  <si>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</si>
  <si>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</si>
  <si>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</si>
  <si>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</si>
  <si>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</si>
  <si>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</si>
  <si>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</si>
  <si>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</si>
  <si>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</si>
  <si>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</si>
  <si>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</si>
  <si>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</si>
  <si>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</si>
  <si>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</si>
  <si>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</si>
  <si>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</si>
  <si>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</si>
  <si>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</si>
  <si>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</si>
  <si>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</si>
  <si>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</si>
  <si>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</si>
  <si>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</si>
  <si>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</si>
  <si>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</si>
  <si>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</si>
  <si>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</si>
  <si>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</si>
  <si>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</si>
  <si>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</si>
  <si>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</si>
  <si>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</si>
  <si>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</si>
  <si>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</si>
  <si>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</si>
  <si>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</si>
  <si>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</si>
  <si>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</si>
  <si>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</si>
  <si>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</si>
  <si>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</si>
  <si>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</si>
  <si>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</si>
  <si>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</si>
  <si>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</si>
  <si>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</si>
  <si>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</si>
  <si>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</si>
  <si>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</si>
  <si>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</si>
  <si>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</si>
  <si>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</si>
  <si>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</si>
  <si>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</si>
  <si>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</si>
  <si>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</si>
  <si>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</si>
  <si>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</si>
  <si>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</si>
  <si>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</si>
  <si>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</si>
  <si>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</si>
  <si>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</si>
  <si>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</si>
  <si>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</si>
  <si>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</si>
  <si>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</si>
  <si>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</si>
  <si>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</si>
  <si>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</si>
  <si>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</si>
  <si>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</si>
  <si>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</si>
  <si>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</si>
  <si>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</si>
  <si>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</si>
  <si>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</si>
  <si>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</si>
  <si>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</si>
  <si>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</si>
  <si>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</si>
  <si>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</si>
  <si>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</si>
  <si>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</si>
  <si>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</si>
  <si>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</si>
  <si>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</si>
  <si>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</si>
  <si>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</si>
  <si>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</si>
  <si>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</si>
  <si>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</si>
  <si>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</si>
  <si>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</si>
  <si>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</si>
  <si>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</si>
  <si>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</si>
  <si>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</si>
  <si>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</si>
  <si>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</si>
  <si>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</si>
  <si>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</si>
  <si>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</si>
  <si>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</si>
  <si>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</si>
  <si>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</si>
  <si>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</si>
  <si>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</si>
  <si>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</si>
  <si>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</si>
  <si>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</si>
  <si>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</si>
  <si>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</si>
  <si>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</si>
  <si>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</si>
  <si>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</si>
  <si>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</si>
  <si>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</si>
  <si>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</si>
  <si>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</si>
  <si>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</si>
  <si>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</si>
  <si>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</si>
  <si>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</si>
  <si>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</si>
  <si>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</si>
  <si>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</si>
  <si>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</si>
  <si>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</si>
  <si>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</si>
  <si>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</si>
  <si>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</si>
  <si>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</si>
  <si>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</si>
  <si>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</si>
  <si>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</si>
  <si>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</si>
  <si>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</si>
  <si>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</si>
  <si>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</si>
  <si>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</si>
  <si>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</si>
  <si>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</si>
  <si>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</si>
  <si>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</si>
  <si>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</si>
  <si>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</si>
  <si>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</si>
  <si>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</si>
  <si>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</si>
  <si>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</si>
  <si>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</si>
  <si>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</si>
  <si>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</si>
  <si>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</si>
  <si>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</si>
  <si>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</si>
  <si>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</si>
  <si>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</si>
  <si>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</si>
  <si>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</si>
  <si>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</si>
  <si>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</si>
  <si>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</si>
  <si>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</si>
  <si>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</si>
  <si>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</si>
  <si>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</si>
  <si>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</si>
  <si>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</si>
  <si>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</si>
  <si>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</si>
  <si>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</si>
  <si>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</si>
  <si>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</si>
  <si>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</si>
  <si>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</si>
  <si>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</si>
  <si>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</si>
  <si>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</si>
  <si>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</si>
  <si>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</si>
  <si>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</si>
  <si>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</si>
  <si>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</si>
  <si>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</si>
  <si>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</si>
  <si>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</si>
  <si>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</si>
  <si>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</si>
  <si>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</si>
  <si>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</si>
  <si>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</si>
  <si>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</si>
  <si>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</si>
  <si>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</si>
  <si>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</si>
  <si>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</si>
  <si>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</si>
  <si>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</si>
  <si>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</si>
  <si>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</si>
  <si>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</si>
  <si>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</si>
  <si>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</si>
  <si>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</si>
  <si>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</si>
  <si>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</si>
  <si>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</si>
  <si>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</si>
  <si>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</si>
  <si>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</si>
  <si>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</si>
  <si>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</si>
  <si>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</si>
  <si>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</si>
  <si>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</si>
  <si>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운반비,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</si>
  <si>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</si>
  <si>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</si>
  <si>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충청도</t>
  </si>
  <si>
    <t>월랑초등학교 이전 신축공사</t>
    <phoneticPr fontId="2" type="noConversion"/>
  </si>
  <si>
    <t>기초공사, 골재비및운반비, 작업부산물, 기타공사</t>
    <phoneticPr fontId="2" type="noConversion"/>
  </si>
  <si>
    <t>공조배관공사,기타공사</t>
    <phoneticPr fontId="2" type="noConversion"/>
  </si>
  <si>
    <t>옥외보안등설비공사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</si>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</sst>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15137.37</v>
      </c>
      <c r="D7" s="36">
        <f>+C7/3.3058</f>
        <v>4579.0338193478128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473380</v>
      </c>
      <c r="E25" s="59">
        <f t="shared" si="0"/>
        <v>1564890</v>
      </c>
    </row>
    <row r="26" spans="1:5" x14ac:dyDescent="0.3">
      <c r="B26" s="2">
        <v>3</v>
      </c>
      <c r="C26" s="35" t="s">
        <v>95</v>
      </c>
      <c r="D26" s="45">
        <f>+D66</f>
        <v>11500</v>
      </c>
      <c r="E26" s="59">
        <f t="shared" si="0"/>
        <v>38010</v>
      </c>
    </row>
    <row r="27" spans="1:5" x14ac:dyDescent="0.3">
      <c r="B27" s="2">
        <v>4</v>
      </c>
      <c r="C27" s="35" t="s">
        <v>96</v>
      </c>
      <c r="D27" s="45">
        <f>+D95</f>
        <v>146230</v>
      </c>
      <c r="E27" s="59">
        <f t="shared" si="0"/>
        <v>483400</v>
      </c>
    </row>
    <row r="28" spans="1:5" x14ac:dyDescent="0.3">
      <c r="B28" s="2">
        <v>5</v>
      </c>
      <c r="C28" s="35" t="s">
        <v>97</v>
      </c>
      <c r="D28" s="45">
        <f>+D119</f>
        <v>89730</v>
      </c>
      <c r="E28" s="59">
        <f t="shared" si="0"/>
        <v>296620</v>
      </c>
    </row>
    <row r="29" spans="1:5" x14ac:dyDescent="0.3">
      <c r="B29" s="2">
        <v>6</v>
      </c>
      <c r="C29" s="35" t="s">
        <v>98</v>
      </c>
      <c r="D29" s="45">
        <f>+D133</f>
        <v>34770</v>
      </c>
      <c r="E29" s="59">
        <f t="shared" si="0"/>
        <v>114940</v>
      </c>
    </row>
    <row r="30" spans="1:5" x14ac:dyDescent="0.3">
      <c r="B30" s="2">
        <v>7</v>
      </c>
      <c r="C30" s="35" t="s">
        <v>99</v>
      </c>
      <c r="D30" s="45">
        <f>+D146</f>
        <v>25830</v>
      </c>
      <c r="E30" s="59">
        <f t="shared" si="0"/>
        <v>85380</v>
      </c>
    </row>
    <row r="31" spans="1:5" x14ac:dyDescent="0.3">
      <c r="B31" s="2">
        <v>8</v>
      </c>
      <c r="C31" s="35" t="s">
        <v>100</v>
      </c>
      <c r="D31" s="45">
        <f>+D154</f>
        <v>11610</v>
      </c>
      <c r="E31" s="59">
        <f t="shared" si="0"/>
        <v>38380</v>
      </c>
    </row>
    <row r="32" spans="1:5" x14ac:dyDescent="0.3">
      <c r="B32" s="2">
        <v>9</v>
      </c>
      <c r="C32" s="35" t="s">
        <v>101</v>
      </c>
      <c r="D32" s="45">
        <f>+D161</f>
        <v>16550</v>
      </c>
      <c r="E32" s="59">
        <f t="shared" si="0"/>
        <v>54710</v>
      </c>
    </row>
    <row r="33" spans="1:7" x14ac:dyDescent="0.3">
      <c r="B33" s="2">
        <v>10</v>
      </c>
      <c r="C33" s="35" t="s">
        <v>154</v>
      </c>
      <c r="D33" s="53">
        <f>TRUNC(SUM(D24:D32)*0.275,-1)</f>
        <v>222640</v>
      </c>
      <c r="E33" s="60">
        <f t="shared" si="0"/>
        <v>736000</v>
      </c>
    </row>
    <row r="34" spans="1:7" x14ac:dyDescent="0.3">
      <c r="C34" s="35" t="s">
        <v>112</v>
      </c>
      <c r="D34" s="44">
        <f>SUM(D24:D33)</f>
        <v>1032240</v>
      </c>
      <c r="E34" s="44">
        <f>SUM(E24:E33)</f>
        <v>3412330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TRUNC(23380,-1)</f>
        <v>23380</v>
      </c>
      <c r="E40" s="62">
        <f t="shared" ref="E40:E59" si="1">TRUNC(+D40*3.3058,-1)</f>
        <v>77280</v>
      </c>
    </row>
    <row r="41" spans="1:7" x14ac:dyDescent="0.3">
      <c r="A41" s="2">
        <v>2</v>
      </c>
      <c r="C41" s="38" t="s">
        <v>13</v>
      </c>
      <c r="D41" s="42">
        <f>TRUNC(64919,-1)</f>
        <v>64910</v>
      </c>
      <c r="E41" s="63">
        <f t="shared" si="1"/>
        <v>214570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17420</v>
      </c>
      <c r="E43" s="63">
        <f t="shared" si="1"/>
        <v>57580</v>
      </c>
    </row>
    <row r="44" spans="1:7" x14ac:dyDescent="0.3">
      <c r="A44" s="2">
        <v>5</v>
      </c>
      <c r="C44" s="38" t="s">
        <v>17</v>
      </c>
      <c r="D44" s="42">
        <f>TRUNC(12644,-1)</f>
        <v>12640</v>
      </c>
      <c r="E44" s="63">
        <f t="shared" si="1"/>
        <v>41780</v>
      </c>
    </row>
    <row r="45" spans="1:7" x14ac:dyDescent="0.3">
      <c r="A45" s="2">
        <v>6</v>
      </c>
      <c r="C45" s="38" t="s">
        <v>18</v>
      </c>
      <c r="D45" s="42">
        <f>TRUNC(5121,-1)</f>
        <v>5120</v>
      </c>
      <c r="E45" s="63">
        <f t="shared" si="1"/>
        <v>16920</v>
      </c>
    </row>
    <row r="46" spans="1:7" x14ac:dyDescent="0.3">
      <c r="A46" s="2">
        <v>7</v>
      </c>
      <c r="C46" s="38" t="s">
        <v>19</v>
      </c>
      <c r="D46" s="42">
        <f>TRUNC(19606,-1)</f>
        <v>19600</v>
      </c>
      <c r="E46" s="63">
        <f t="shared" si="1"/>
        <v>64790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TRUNC(35716,-1)</f>
        <v>35710</v>
      </c>
      <c r="E48" s="63">
        <f t="shared" si="1"/>
        <v>118050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TRUNC(14401,-1)</f>
        <v>14400</v>
      </c>
      <c r="E49" s="63">
        <f t="shared" si="1"/>
        <v>47600</v>
      </c>
    </row>
    <row r="50" spans="1:7" x14ac:dyDescent="0.3">
      <c r="A50" s="2">
        <v>11</v>
      </c>
      <c r="C50" s="38" t="s">
        <v>155</v>
      </c>
      <c r="D50" s="42">
        <f>TRUNC(35978,-1)</f>
        <v>35970</v>
      </c>
      <c r="E50" s="63">
        <f t="shared" si="1"/>
        <v>118900</v>
      </c>
      <c r="F50" s="2" t="s">
        <v>258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TRUNC(5872,-1)</f>
        <v>5870</v>
      </c>
      <c r="E52" s="63">
        <f t="shared" si="1"/>
        <v>19400</v>
      </c>
    </row>
    <row r="53" spans="1:7" x14ac:dyDescent="0.3">
      <c r="A53" s="2">
        <v>14</v>
      </c>
      <c r="C53" s="38" t="s">
        <v>25</v>
      </c>
      <c r="D53" s="42">
        <f>TRUNC(54848,-1)</f>
        <v>54840</v>
      </c>
      <c r="E53" s="63">
        <f t="shared" si="1"/>
        <v>181290</v>
      </c>
      <c r="F53" s="2" t="s">
        <v>259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TRUNC(3594+2870-394+2131,-1)</f>
        <v>8200</v>
      </c>
      <c r="E58" s="63">
        <f t="shared" si="1"/>
        <v>27100</v>
      </c>
      <c r="F58" s="2" t="s">
        <v>262</v>
      </c>
    </row>
    <row r="59" spans="1:7" ht="17.25" thickBot="1" x14ac:dyDescent="0.35">
      <c r="A59" s="2">
        <v>20</v>
      </c>
      <c r="C59" s="38" t="s">
        <v>148</v>
      </c>
      <c r="D59" s="43">
        <f>TRUNC(175326,-1)</f>
        <v>175320</v>
      </c>
      <c r="E59" s="64">
        <f t="shared" si="1"/>
        <v>579570</v>
      </c>
    </row>
    <row r="60" spans="1:7" x14ac:dyDescent="0.3">
      <c r="A60" s="2">
        <v>21</v>
      </c>
      <c r="C60" s="27" t="s">
        <v>112</v>
      </c>
      <c r="D60" s="39">
        <f>SUM(D40:D59)</f>
        <v>473380</v>
      </c>
      <c r="E60" s="39">
        <f>SUM(E40:E59)</f>
        <v>1564830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TRUNC(8278,-1)</f>
        <v>8270</v>
      </c>
      <c r="E63" s="62">
        <f>TRUNC(+D63*3.3058,-1)</f>
        <v>27330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TRUNC(3232,-1)</f>
        <v>3230</v>
      </c>
      <c r="E65" s="64">
        <f>TRUNC(+D65*3.3058,-1)</f>
        <v>10670</v>
      </c>
    </row>
    <row r="66" spans="1:7" x14ac:dyDescent="0.3">
      <c r="A66" s="2">
        <v>4</v>
      </c>
      <c r="C66" s="27" t="s">
        <v>112</v>
      </c>
      <c r="D66" s="39">
        <f>SUM(D63:D65)</f>
        <v>11500</v>
      </c>
      <c r="E66" s="65">
        <f>SUM(E63:E65)</f>
        <v>38000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TRUNC(2936,-1)</f>
        <v>2930</v>
      </c>
      <c r="E69" s="62">
        <f t="shared" ref="E69:E94" si="2">TRUNC(+D69*3.3058,-1)</f>
        <v>9680</v>
      </c>
    </row>
    <row r="70" spans="1:7" ht="16.5" customHeight="1" x14ac:dyDescent="0.3">
      <c r="A70" s="2">
        <v>2</v>
      </c>
      <c r="C70" s="38" t="s">
        <v>31</v>
      </c>
      <c r="D70" s="42">
        <f>TRUNC(765,-1)</f>
        <v>760</v>
      </c>
      <c r="E70" s="63">
        <f t="shared" si="2"/>
        <v>2510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TRUNC(1082,-1)</f>
        <v>1080</v>
      </c>
      <c r="E72" s="63">
        <f t="shared" si="2"/>
        <v>3570</v>
      </c>
    </row>
    <row r="73" spans="1:7" x14ac:dyDescent="0.3">
      <c r="A73" s="2">
        <v>5</v>
      </c>
      <c r="C73" s="38" t="s">
        <v>34</v>
      </c>
      <c r="D73" s="42">
        <f>TRUNC(8692,-1)</f>
        <v>8690</v>
      </c>
      <c r="E73" s="63">
        <f t="shared" si="2"/>
        <v>28720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TRUNC(37519,-1)</f>
        <v>37510</v>
      </c>
      <c r="E76" s="63">
        <f t="shared" si="2"/>
        <v>124000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4550</v>
      </c>
      <c r="E89" s="63">
        <f t="shared" si="2"/>
        <v>15040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TRUNC(1835,-1)</f>
        <v>1830</v>
      </c>
      <c r="E91" s="63">
        <f t="shared" si="2"/>
        <v>6040</v>
      </c>
    </row>
    <row r="92" spans="1:7" x14ac:dyDescent="0.3">
      <c r="A92" s="2">
        <v>24</v>
      </c>
      <c r="C92" s="38" t="s">
        <v>38</v>
      </c>
      <c r="D92" s="42">
        <f>TRUNC(6989,-1)</f>
        <v>6980</v>
      </c>
      <c r="E92" s="63">
        <f t="shared" si="2"/>
        <v>23070</v>
      </c>
    </row>
    <row r="93" spans="1:7" x14ac:dyDescent="0.3">
      <c r="A93" s="2">
        <v>25</v>
      </c>
      <c r="C93" s="38" t="s">
        <v>148</v>
      </c>
      <c r="D93" s="42">
        <f>TRUNC(58668,-1)</f>
        <v>58660</v>
      </c>
      <c r="E93" s="63">
        <f t="shared" si="2"/>
        <v>193910</v>
      </c>
    </row>
    <row r="94" spans="1:7" ht="17.25" thickBot="1" x14ac:dyDescent="0.35">
      <c r="A94" s="2">
        <v>26</v>
      </c>
      <c r="C94" s="38" t="s">
        <v>47</v>
      </c>
      <c r="D94" s="43">
        <f>TRUNC(474+22769,-1)</f>
        <v>23240</v>
      </c>
      <c r="E94" s="64">
        <f t="shared" si="2"/>
        <v>76820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146230</v>
      </c>
      <c r="E95" s="39">
        <f>SUM(E69:E94)</f>
        <v>483360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TRUNC(8321,-1)</f>
        <v>8320</v>
      </c>
      <c r="E98" s="62">
        <f t="shared" ref="E98:E118" si="3">TRUNC(+D98*3.3058,-1)</f>
        <v>27500</v>
      </c>
    </row>
    <row r="99" spans="1:7" x14ac:dyDescent="0.3">
      <c r="A99" s="2">
        <v>2</v>
      </c>
      <c r="C99" s="38" t="s">
        <v>40</v>
      </c>
      <c r="D99" s="42">
        <f>TRUNC(663,-1)</f>
        <v>660</v>
      </c>
      <c r="E99" s="63">
        <f t="shared" si="3"/>
        <v>2180</v>
      </c>
    </row>
    <row r="100" spans="1:7" x14ac:dyDescent="0.3">
      <c r="A100" s="2">
        <v>3</v>
      </c>
      <c r="C100" s="38" t="s">
        <v>41</v>
      </c>
      <c r="D100" s="42">
        <f>TRUNC(13455,-1)</f>
        <v>13450</v>
      </c>
      <c r="E100" s="63">
        <f t="shared" si="3"/>
        <v>44460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TRUNC(6993,-1)</f>
        <v>6990</v>
      </c>
      <c r="E102" s="63">
        <f t="shared" si="3"/>
        <v>23100</v>
      </c>
    </row>
    <row r="103" spans="1:7" x14ac:dyDescent="0.3">
      <c r="A103" s="2">
        <v>6</v>
      </c>
      <c r="C103" s="38" t="s">
        <v>44</v>
      </c>
      <c r="D103" s="42">
        <f>TRUNC(3594,-1)</f>
        <v>3590</v>
      </c>
      <c r="E103" s="63">
        <f t="shared" si="3"/>
        <v>11860</v>
      </c>
    </row>
    <row r="104" spans="1:7" x14ac:dyDescent="0.3">
      <c r="A104" s="2">
        <v>7</v>
      </c>
      <c r="C104" s="38" t="s">
        <v>45</v>
      </c>
      <c r="D104" s="42">
        <f>TRUNC(1218,-1)</f>
        <v>1210</v>
      </c>
      <c r="E104" s="63">
        <f t="shared" si="3"/>
        <v>4000</v>
      </c>
    </row>
    <row r="105" spans="1:7" x14ac:dyDescent="0.3">
      <c r="A105" s="2">
        <v>8</v>
      </c>
      <c r="C105" s="38" t="s">
        <v>46</v>
      </c>
      <c r="D105" s="42">
        <f>TRUNC(4738,-1)</f>
        <v>4730</v>
      </c>
      <c r="E105" s="63">
        <f t="shared" si="3"/>
        <v>15630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TRUNC(924,-1)</f>
        <v>920</v>
      </c>
      <c r="E114" s="63">
        <f t="shared" si="3"/>
        <v>3040</v>
      </c>
      <c r="F114" s="2" t="s">
        <v>264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TRUNC(2333,-1)</f>
        <v>2330</v>
      </c>
      <c r="E116" s="63">
        <f t="shared" si="3"/>
        <v>7700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TRUNC(44814,-1)</f>
        <v>44810</v>
      </c>
      <c r="E117" s="63">
        <f t="shared" si="3"/>
        <v>148130</v>
      </c>
    </row>
    <row r="118" spans="1:7" ht="17.25" thickBot="1" x14ac:dyDescent="0.35">
      <c r="A118" s="2">
        <v>21</v>
      </c>
      <c r="C118" s="38" t="s">
        <v>47</v>
      </c>
      <c r="D118" s="43">
        <f>TRUNC(2729,-1)</f>
        <v>2720</v>
      </c>
      <c r="E118" s="64">
        <f t="shared" si="3"/>
        <v>8990</v>
      </c>
    </row>
    <row r="119" spans="1:7" x14ac:dyDescent="0.3">
      <c r="A119" s="2">
        <v>22</v>
      </c>
      <c r="C119" s="27" t="s">
        <v>112</v>
      </c>
      <c r="D119" s="39">
        <f>SUM(D98:D118)</f>
        <v>89730</v>
      </c>
      <c r="E119" s="39">
        <f>SUM(E98:E118)</f>
        <v>296590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TRUNC(2371,-1)</f>
        <v>2370</v>
      </c>
      <c r="E122" s="62">
        <f t="shared" ref="E122:E132" si="4">TRUNC(+D122*3.3058,-1)</f>
        <v>7830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TRUNC(829,-1)</f>
        <v>820</v>
      </c>
      <c r="E124" s="63">
        <f t="shared" si="4"/>
        <v>2710</v>
      </c>
    </row>
    <row r="125" spans="1:7" x14ac:dyDescent="0.3">
      <c r="A125" s="2">
        <v>4</v>
      </c>
      <c r="C125" s="38" t="s">
        <v>138</v>
      </c>
      <c r="D125" s="42">
        <v>3590</v>
      </c>
      <c r="E125" s="63">
        <f t="shared" si="4"/>
        <v>11860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TRUNC(2775,-1)</f>
        <v>2770</v>
      </c>
      <c r="E128" s="63">
        <f t="shared" si="4"/>
        <v>9150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TRUNC(11108,-1)</f>
        <v>11100</v>
      </c>
      <c r="E130" s="63">
        <f t="shared" si="4"/>
        <v>36690</v>
      </c>
    </row>
    <row r="131" spans="1:7" x14ac:dyDescent="0.3">
      <c r="A131" s="2">
        <v>10</v>
      </c>
      <c r="C131" s="38" t="s">
        <v>148</v>
      </c>
      <c r="D131" s="42">
        <f>TRUNC(13571,-1)</f>
        <v>13570</v>
      </c>
      <c r="E131" s="63">
        <f t="shared" si="4"/>
        <v>44850</v>
      </c>
    </row>
    <row r="132" spans="1:7" ht="18" thickBot="1" x14ac:dyDescent="0.35">
      <c r="A132" s="2">
        <v>11</v>
      </c>
      <c r="C132" s="38" t="s">
        <v>47</v>
      </c>
      <c r="D132" s="43">
        <f>TRUNC(552,-1)</f>
        <v>550</v>
      </c>
      <c r="E132" s="64">
        <f t="shared" si="4"/>
        <v>1810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34770</v>
      </c>
      <c r="E133" s="39">
        <f>SUM(E122:E132)</f>
        <v>114900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TRUNC(6239,-1)</f>
        <v>6230</v>
      </c>
      <c r="E137" s="63">
        <f t="shared" si="5"/>
        <v>20590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TRUNC(1393,-1)</f>
        <v>1390</v>
      </c>
      <c r="E140" s="63">
        <f t="shared" si="5"/>
        <v>4590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TRUNC(13155,-1)</f>
        <v>13150</v>
      </c>
      <c r="E142" s="63">
        <f t="shared" si="5"/>
        <v>43470</v>
      </c>
    </row>
    <row r="143" spans="1:7" x14ac:dyDescent="0.3">
      <c r="A143" s="2">
        <v>8</v>
      </c>
      <c r="C143" s="38" t="s">
        <v>62</v>
      </c>
      <c r="D143" s="42">
        <f>TRUNC(2359,-1)</f>
        <v>2350</v>
      </c>
      <c r="E143" s="63">
        <f t="shared" si="5"/>
        <v>7760</v>
      </c>
    </row>
    <row r="144" spans="1:7" x14ac:dyDescent="0.3">
      <c r="A144" s="2">
        <v>9</v>
      </c>
      <c r="C144" s="38" t="s">
        <v>63</v>
      </c>
      <c r="D144" s="42">
        <f>TRUNC(2713,-1)</f>
        <v>2710</v>
      </c>
      <c r="E144" s="63">
        <f t="shared" si="5"/>
        <v>8950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25830</v>
      </c>
      <c r="E146" s="39">
        <f>SUM(E136:E145)</f>
        <v>85360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TRUNC(7646,-1)</f>
        <v>7640</v>
      </c>
      <c r="E149" s="62">
        <f>TRUNC(+D149*3.3058,-1)</f>
        <v>25250</v>
      </c>
    </row>
    <row r="150" spans="1:7" x14ac:dyDescent="0.3">
      <c r="A150" s="2">
        <v>2</v>
      </c>
      <c r="C150" s="38" t="s">
        <v>49</v>
      </c>
      <c r="D150" s="42">
        <f>TRUNC(3112,-1)</f>
        <v>3110</v>
      </c>
      <c r="E150" s="63">
        <f>TRUNC(+D150*3.3058,-1)</f>
        <v>10280</v>
      </c>
    </row>
    <row r="151" spans="1:7" x14ac:dyDescent="0.3">
      <c r="A151" s="2">
        <v>3</v>
      </c>
      <c r="C151" s="38" t="s">
        <v>50</v>
      </c>
      <c r="D151" s="42">
        <f>TRUNC(211,-1)</f>
        <v>210</v>
      </c>
      <c r="E151" s="63">
        <f>TRUNC(+D151*3.3058,-1)</f>
        <v>690</v>
      </c>
    </row>
    <row r="152" spans="1:7" x14ac:dyDescent="0.3">
      <c r="A152" s="2">
        <v>4</v>
      </c>
      <c r="C152" s="38" t="s">
        <v>47</v>
      </c>
      <c r="D152" s="42">
        <f>TRUNC(44+614,-1)</f>
        <v>650</v>
      </c>
      <c r="E152" s="63">
        <f>TRUNC(+D152*3.3058,-1)</f>
        <v>2140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11610</v>
      </c>
      <c r="E154" s="39">
        <f>SUM(E149:E153)</f>
        <v>38360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TRUNC(7463,-1)</f>
        <v>7460</v>
      </c>
      <c r="E157" s="62">
        <f>TRUNC(+D157*3.3058,-1)</f>
        <v>24660</v>
      </c>
    </row>
    <row r="158" spans="1:7" x14ac:dyDescent="0.3">
      <c r="A158" s="2">
        <v>2</v>
      </c>
      <c r="C158" s="38" t="s">
        <v>52</v>
      </c>
      <c r="D158" s="42">
        <f>TRUNC(682,-1)</f>
        <v>680</v>
      </c>
      <c r="E158" s="63">
        <f>TRUNC(+D158*3.3058,-1)</f>
        <v>2240</v>
      </c>
    </row>
    <row r="159" spans="1:7" x14ac:dyDescent="0.3">
      <c r="A159" s="2">
        <v>3</v>
      </c>
      <c r="C159" s="38" t="s">
        <v>47</v>
      </c>
      <c r="D159" s="42">
        <f>TRUNC(8417,-1)</f>
        <v>8410</v>
      </c>
      <c r="E159" s="63">
        <f>TRUNC(+D159*3.3058,-1)</f>
        <v>27800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16550</v>
      </c>
      <c r="E161" s="39">
        <f>SUM(E157:E160)</f>
        <v>54700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2020-12-07T10:13:19Z</dcterms:modified>
</cp:coreProperties>
</file>