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2" i="4"/>
  <c r="D151" i="4"/>
  <c r="D150" i="4"/>
  <c r="D149" i="4"/>
  <c r="D142" i="4"/>
  <c r="D141" i="4"/>
  <c r="D139" i="4"/>
  <c r="D132" i="4"/>
  <c r="D131" i="4"/>
  <c r="D130" i="4"/>
  <c r="D128" i="4"/>
  <c r="D127" i="4"/>
  <c r="D126" i="4"/>
  <c r="D125" i="4"/>
  <c r="D122" i="4"/>
  <c r="D117" i="4"/>
  <c r="D114" i="4"/>
  <c r="D104" i="4"/>
  <c r="D103" i="4"/>
  <c r="D102" i="4"/>
  <c r="D98" i="4"/>
  <c r="D94" i="4"/>
  <c r="D93" i="4"/>
  <c r="D92" i="4"/>
  <c r="D91" i="4"/>
  <c r="D89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<sst xmlns="http://schemas.openxmlformats.org/spreadsheetml/2006/main" count="390" uniqueCount="264">
  <si>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</si>
  <si>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</si>
  <si>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</si>
  <si>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</si>
  <si>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</si>
  <si>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</si>
  <si>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</si>
  <si>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</si>
  <si>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</si>
  <si>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</si>
  <si>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</si>
  <si>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</si>
  <si>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</si>
  <si>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</si>
  <si>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</si>
  <si>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</si>
  <si>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</si>
  <si>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</si>
  <si>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</si>
  <si>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</si>
  <si>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</si>
  <si>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</si>
  <si>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</si>
  <si>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</si>
  <si>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</si>
  <si>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</si>
  <si>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</si>
  <si>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</si>
  <si>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</si>
  <si>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</si>
  <si>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</si>
  <si>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</si>
  <si>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</si>
  <si>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</si>
  <si>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</si>
  <si>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</si>
  <si>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</si>
  <si>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</si>
  <si>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</si>
  <si>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</si>
  <si>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</si>
  <si>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</si>
  <si>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</si>
  <si>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</si>
  <si>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</si>
  <si>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</si>
  <si>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</si>
  <si>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</si>
  <si>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</si>
  <si>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</si>
  <si>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</si>
  <si>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</si>
  <si>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</si>
  <si>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</si>
  <si>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</si>
  <si>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</si>
  <si>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</si>
  <si>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</si>
  <si>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</si>
  <si>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</si>
  <si>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</si>
  <si>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</si>
  <si>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</si>
  <si>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</si>
  <si>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</si>
  <si>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</si>
  <si>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</si>
  <si>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</si>
  <si>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</si>
  <si>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</si>
  <si>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</si>
  <si>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</si>
  <si>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</si>
  <si>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</si>
  <si>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</si>
  <si>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</si>
  <si>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</si>
  <si>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</si>
  <si>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</si>
  <si>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</si>
  <si>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</si>
  <si>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</si>
  <si>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</si>
  <si>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</si>
  <si>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</si>
  <si>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</si>
  <si>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</si>
  <si>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</si>
  <si>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</si>
  <si>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</si>
  <si>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</si>
  <si>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</si>
  <si>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</si>
  <si>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</si>
  <si>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</si>
  <si>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</si>
  <si>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</si>
  <si>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</si>
  <si>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</si>
  <si>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</si>
  <si>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</si>
  <si>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</si>
  <si>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</si>
  <si>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</si>
  <si>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</si>
  <si>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</si>
  <si>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</si>
  <si>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</si>
  <si>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</si>
  <si>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</si>
  <si>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</si>
  <si>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</si>
  <si>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</si>
  <si>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</si>
  <si>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</si>
  <si>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</si>
  <si>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</si>
  <si>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</si>
  <si>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</si>
  <si>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</si>
  <si>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</si>
  <si>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</si>
  <si>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</si>
  <si>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</si>
  <si>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</si>
  <si>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</si>
  <si>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</si>
  <si>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</si>
  <si>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</si>
  <si>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</si>
  <si>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</si>
  <si>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</si>
  <si>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</si>
  <si>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</si>
  <si>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</si>
  <si>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</si>
  <si>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</si>
  <si>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</si>
  <si>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</si>
  <si>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</si>
  <si>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</si>
  <si>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</si>
  <si>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</si>
  <si>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</si>
  <si>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</si>
  <si>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</si>
  <si>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</si>
  <si>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</si>
  <si>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</si>
  <si>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</si>
  <si>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</si>
  <si>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</si>
  <si>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</si>
  <si>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</si>
  <si>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</si>
  <si>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</si>
  <si>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</si>
  <si>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</si>
  <si>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</si>
  <si>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</si>
  <si>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</si>
  <si>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</si>
  <si>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</si>
  <si>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</si>
  <si>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</si>
  <si>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</si>
  <si>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</si>
  <si>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</si>
  <si>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</si>
  <si>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</si>
  <si>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</si>
  <si>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</si>
  <si>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</si>
  <si>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</si>
  <si>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</si>
  <si>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</si>
  <si>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</si>
  <si>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</si>
  <si>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</si>
  <si>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</si>
  <si>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</si>
  <si>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</si>
  <si>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</si>
  <si>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</si>
  <si>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</si>
  <si>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</si>
  <si>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</si>
  <si>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</si>
  <si>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</si>
  <si>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</si>
  <si>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</si>
  <si>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</si>
  <si>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</si>
  <si>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</si>
  <si>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</si>
  <si>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</si>
  <si>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</si>
  <si>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</si>
  <si>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</si>
  <si>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</si>
  <si>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</si>
  <si>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</si>
  <si>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</si>
  <si>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</si>
  <si>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</si>
  <si>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</si>
  <si>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</si>
  <si>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</si>
  <si>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</si>
  <si>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</si>
  <si>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</si>
  <si>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</si>
  <si>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</si>
  <si>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</si>
  <si>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</si>
  <si>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</si>
  <si>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</si>
  <si>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</si>
  <si>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</si>
  <si>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</si>
  <si>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</si>
  <si>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</si>
  <si>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</si>
  <si>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</si>
  <si>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</si>
  <si>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</si>
  <si>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</si>
  <si>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</si>
  <si>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</si>
  <si>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</si>
  <si>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</si>
  <si>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</si>
  <si>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</si>
  <si>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</si>
  <si>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</si>
  <si>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</si>
  <si>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</si>
  <si>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</si>
  <si>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</si>
  <si>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</si>
  <si>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</si>
  <si>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</si>
  <si>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</si>
  <si>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</si>
  <si>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</si>
  <si>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</si>
  <si>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</si>
  <si>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</si>
  <si>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</si>
  <si>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</si>
  <si>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</si>
  <si>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</si>
  <si>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</si>
  <si>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창호및유리공사</t>
    <phoneticPr fontId="2" type="noConversion"/>
  </si>
  <si>
    <t>가칭 행복중 신축공사</t>
    <phoneticPr fontId="2" type="noConversion"/>
  </si>
  <si>
    <t>전라도</t>
  </si>
  <si>
    <t>기초공사, 폐기물처리비, 골재비및운반비, 품질시험비, 기타공사</t>
    <phoneticPr fontId="2" type="noConversion"/>
  </si>
  <si>
    <t>바닥난방공사</t>
    <phoneticPr fontId="2" type="noConversion"/>
  </si>
  <si>
    <t>옥외보안등설비공사</t>
    <phoneticPr fontId="2" type="noConversion"/>
  </si>
  <si>
    <t>CCTV설비공사, 주차관제설비공사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</si>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</sst>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11783.88</v>
      </c>
      <c r="D7" s="36">
        <f>+C7/3.3058</f>
        <v>3564.6076592655331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903260</v>
      </c>
      <c r="E25" s="59">
        <f t="shared" si="0"/>
        <v>2985990</v>
      </c>
    </row>
    <row r="26" spans="1:5" x14ac:dyDescent="0.3">
      <c r="B26" s="2">
        <v>3</v>
      </c>
      <c r="C26" s="35" t="s">
        <v>95</v>
      </c>
      <c r="D26" s="45">
        <f>+D66</f>
        <v>73250</v>
      </c>
      <c r="E26" s="59">
        <f t="shared" si="0"/>
        <v>242140</v>
      </c>
    </row>
    <row r="27" spans="1:5" x14ac:dyDescent="0.3">
      <c r="B27" s="2">
        <v>4</v>
      </c>
      <c r="C27" s="35" t="s">
        <v>96</v>
      </c>
      <c r="D27" s="45">
        <f>+D95</f>
        <v>202960</v>
      </c>
      <c r="E27" s="59">
        <f t="shared" si="0"/>
        <v>670940</v>
      </c>
    </row>
    <row r="28" spans="1:5" x14ac:dyDescent="0.3">
      <c r="B28" s="2">
        <v>5</v>
      </c>
      <c r="C28" s="35" t="s">
        <v>97</v>
      </c>
      <c r="D28" s="45">
        <f>+D119</f>
        <v>183800</v>
      </c>
      <c r="E28" s="59">
        <f t="shared" si="0"/>
        <v>607600</v>
      </c>
    </row>
    <row r="29" spans="1:5" x14ac:dyDescent="0.3">
      <c r="B29" s="2">
        <v>6</v>
      </c>
      <c r="C29" s="35" t="s">
        <v>98</v>
      </c>
      <c r="D29" s="45">
        <f>+D133</f>
        <v>57860</v>
      </c>
      <c r="E29" s="59">
        <f t="shared" si="0"/>
        <v>191270</v>
      </c>
    </row>
    <row r="30" spans="1:5" x14ac:dyDescent="0.3">
      <c r="B30" s="2">
        <v>7</v>
      </c>
      <c r="C30" s="35" t="s">
        <v>99</v>
      </c>
      <c r="D30" s="45">
        <f>+D146</f>
        <v>38600</v>
      </c>
      <c r="E30" s="59">
        <f t="shared" si="0"/>
        <v>127600</v>
      </c>
    </row>
    <row r="31" spans="1:5" x14ac:dyDescent="0.3">
      <c r="B31" s="2">
        <v>8</v>
      </c>
      <c r="C31" s="35" t="s">
        <v>100</v>
      </c>
      <c r="D31" s="45">
        <f>+D154</f>
        <v>101830</v>
      </c>
      <c r="E31" s="59">
        <f t="shared" si="0"/>
        <v>336620</v>
      </c>
    </row>
    <row r="32" spans="1:5" x14ac:dyDescent="0.3">
      <c r="B32" s="2">
        <v>9</v>
      </c>
      <c r="C32" s="35" t="s">
        <v>101</v>
      </c>
      <c r="D32" s="45">
        <f>+D161</f>
        <v>26700</v>
      </c>
      <c r="E32" s="59">
        <f t="shared" si="0"/>
        <v>88260</v>
      </c>
    </row>
    <row r="33" spans="1:7" x14ac:dyDescent="0.3">
      <c r="B33" s="2">
        <v>10</v>
      </c>
      <c r="C33" s="35" t="s">
        <v>155</v>
      </c>
      <c r="D33" s="53">
        <f>TRUNC(SUM(D24:D32)*0.275,-1)</f>
        <v>436770</v>
      </c>
      <c r="E33" s="60">
        <f t="shared" si="0"/>
        <v>1443870</v>
      </c>
    </row>
    <row r="34" spans="1:7" x14ac:dyDescent="0.3">
      <c r="C34" s="35" t="s">
        <v>112</v>
      </c>
      <c r="D34" s="44">
        <f>SUM(D24:D33)</f>
        <v>2025030</v>
      </c>
      <c r="E34" s="44">
        <f>SUM(E24:E33)</f>
        <v>6694290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TRUNC(38886,-1)</f>
        <v>38880</v>
      </c>
      <c r="E40" s="62">
        <f t="shared" ref="E40:E59" si="1">TRUNC(+D40*3.3058,-1)</f>
        <v>128520</v>
      </c>
    </row>
    <row r="41" spans="1:7" x14ac:dyDescent="0.3">
      <c r="A41" s="2">
        <v>2</v>
      </c>
      <c r="C41" s="38" t="s">
        <v>13</v>
      </c>
      <c r="D41" s="42">
        <v>145610</v>
      </c>
      <c r="E41" s="63">
        <f t="shared" si="1"/>
        <v>481350</v>
      </c>
    </row>
    <row r="42" spans="1:7" x14ac:dyDescent="0.3">
      <c r="A42" s="2">
        <v>3</v>
      </c>
      <c r="C42" s="38" t="s">
        <v>14</v>
      </c>
      <c r="D42" s="42">
        <f>TRUNC(11912,-1)</f>
        <v>11910</v>
      </c>
      <c r="E42" s="63">
        <f t="shared" si="1"/>
        <v>39370</v>
      </c>
    </row>
    <row r="43" spans="1:7" x14ac:dyDescent="0.3">
      <c r="A43" s="2">
        <v>4</v>
      </c>
      <c r="C43" s="38" t="s">
        <v>16</v>
      </c>
      <c r="D43" s="42">
        <f>TRUNC(21278,-1)</f>
        <v>21270</v>
      </c>
      <c r="E43" s="63">
        <f t="shared" si="1"/>
        <v>70310</v>
      </c>
    </row>
    <row r="44" spans="1:7" x14ac:dyDescent="0.3">
      <c r="A44" s="2">
        <v>5</v>
      </c>
      <c r="C44" s="38" t="s">
        <v>17</v>
      </c>
      <c r="D44" s="42">
        <f>TRUNC(25678,-1)</f>
        <v>25670</v>
      </c>
      <c r="E44" s="63">
        <f t="shared" si="1"/>
        <v>84850</v>
      </c>
    </row>
    <row r="45" spans="1:7" x14ac:dyDescent="0.3">
      <c r="A45" s="2">
        <v>6</v>
      </c>
      <c r="C45" s="38" t="s">
        <v>18</v>
      </c>
      <c r="D45" s="42">
        <v>5220</v>
      </c>
      <c r="E45" s="63">
        <f t="shared" si="1"/>
        <v>17250</v>
      </c>
    </row>
    <row r="46" spans="1:7" x14ac:dyDescent="0.3">
      <c r="A46" s="2">
        <v>7</v>
      </c>
      <c r="C46" s="38" t="s">
        <v>19</v>
      </c>
      <c r="D46" s="42">
        <f>TRUNC(53165,-1)</f>
        <v>53160</v>
      </c>
      <c r="E46" s="63">
        <f t="shared" si="1"/>
        <v>175730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TRUNC(30314,-1)</f>
        <v>30310</v>
      </c>
      <c r="E48" s="63">
        <f t="shared" si="1"/>
        <v>100190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TRUNC(19134,-1)</f>
        <v>19130</v>
      </c>
      <c r="E49" s="63">
        <f t="shared" si="1"/>
        <v>63230</v>
      </c>
    </row>
    <row r="50" spans="1:7" x14ac:dyDescent="0.3">
      <c r="A50" s="2">
        <v>11</v>
      </c>
      <c r="C50" s="38" t="s">
        <v>156</v>
      </c>
      <c r="D50" s="42">
        <f>TRUNC(54392,-1)</f>
        <v>54390</v>
      </c>
      <c r="E50" s="63">
        <f t="shared" si="1"/>
        <v>179800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TRUNC(9718,-1)</f>
        <v>9710</v>
      </c>
      <c r="E52" s="63">
        <f t="shared" si="1"/>
        <v>32090</v>
      </c>
    </row>
    <row r="53" spans="1:7" x14ac:dyDescent="0.3">
      <c r="A53" s="2">
        <v>14</v>
      </c>
      <c r="C53" s="38" t="s">
        <v>25</v>
      </c>
      <c r="D53" s="42">
        <f>TRUNC(102778,-1)</f>
        <v>102770</v>
      </c>
      <c r="E53" s="63">
        <f t="shared" si="1"/>
        <v>339730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TRUNC(72249+94+3042+686+3682,-1)</f>
        <v>79750</v>
      </c>
      <c r="E58" s="63">
        <f t="shared" si="1"/>
        <v>263630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TRUNC(305489,-1)</f>
        <v>305480</v>
      </c>
      <c r="E59" s="64">
        <f t="shared" si="1"/>
        <v>1009850</v>
      </c>
    </row>
    <row r="60" spans="1:7" x14ac:dyDescent="0.3">
      <c r="A60" s="2">
        <v>21</v>
      </c>
      <c r="C60" s="27" t="s">
        <v>112</v>
      </c>
      <c r="D60" s="39">
        <f>SUM(D40:D59)</f>
        <v>903260</v>
      </c>
      <c r="E60" s="39">
        <f>SUM(E40:E59)</f>
        <v>2985900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TRUNC(663,-1)</f>
        <v>660</v>
      </c>
      <c r="E63" s="62">
        <f>TRUNC(+D63*3.3058,-1)</f>
        <v>2180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TRUNC(72598,-1)</f>
        <v>72590</v>
      </c>
      <c r="E65" s="64">
        <f>TRUNC(+D65*3.3058,-1)</f>
        <v>239960</v>
      </c>
    </row>
    <row r="66" spans="1:7" x14ac:dyDescent="0.3">
      <c r="A66" s="2">
        <v>4</v>
      </c>
      <c r="C66" s="27" t="s">
        <v>112</v>
      </c>
      <c r="D66" s="39">
        <f>SUM(D63:D65)</f>
        <v>73250</v>
      </c>
      <c r="E66" s="65">
        <f>SUM(E63:E65)</f>
        <v>242140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TRUNC(7799,-1)</f>
        <v>7790</v>
      </c>
      <c r="E69" s="62">
        <f t="shared" ref="E69:E94" si="2">TRUNC(+D69*3.3058,-1)</f>
        <v>25750</v>
      </c>
    </row>
    <row r="70" spans="1:7" ht="16.5" customHeight="1" x14ac:dyDescent="0.3">
      <c r="A70" s="2">
        <v>2</v>
      </c>
      <c r="C70" s="38" t="s">
        <v>31</v>
      </c>
      <c r="D70" s="42">
        <f>TRUNC(1433,-1)</f>
        <v>1430</v>
      </c>
      <c r="E70" s="63">
        <f t="shared" si="2"/>
        <v>4720</v>
      </c>
    </row>
    <row r="71" spans="1:7" x14ac:dyDescent="0.3">
      <c r="A71" s="2">
        <v>3</v>
      </c>
      <c r="C71" s="38" t="s">
        <v>32</v>
      </c>
      <c r="D71" s="42">
        <f>TRUNC(8157,-1)</f>
        <v>8150</v>
      </c>
      <c r="E71" s="63">
        <f t="shared" si="2"/>
        <v>26940</v>
      </c>
    </row>
    <row r="72" spans="1:7" x14ac:dyDescent="0.3">
      <c r="A72" s="2">
        <v>4</v>
      </c>
      <c r="C72" s="38" t="s">
        <v>33</v>
      </c>
      <c r="D72" s="42">
        <f>TRUNC(3548,-1)</f>
        <v>3540</v>
      </c>
      <c r="E72" s="63">
        <f t="shared" si="2"/>
        <v>11700</v>
      </c>
    </row>
    <row r="73" spans="1:7" x14ac:dyDescent="0.3">
      <c r="A73" s="2">
        <v>5</v>
      </c>
      <c r="C73" s="38" t="s">
        <v>34</v>
      </c>
      <c r="D73" s="42">
        <v>12660</v>
      </c>
      <c r="E73" s="63">
        <f t="shared" si="2"/>
        <v>41850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TRUNC(11996,-1)</f>
        <v>11990</v>
      </c>
      <c r="E89" s="63">
        <f t="shared" si="2"/>
        <v>39630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TRUNC(7579,-1)</f>
        <v>7570</v>
      </c>
      <c r="E91" s="63">
        <f t="shared" si="2"/>
        <v>25020</v>
      </c>
    </row>
    <row r="92" spans="1:7" x14ac:dyDescent="0.3">
      <c r="A92" s="2">
        <v>24</v>
      </c>
      <c r="C92" s="38" t="s">
        <v>38</v>
      </c>
      <c r="D92" s="42">
        <f>TRUNC(12022,-1)</f>
        <v>12020</v>
      </c>
      <c r="E92" s="63">
        <f t="shared" si="2"/>
        <v>39730</v>
      </c>
    </row>
    <row r="93" spans="1:7" x14ac:dyDescent="0.3">
      <c r="A93" s="2">
        <v>25</v>
      </c>
      <c r="C93" s="38" t="s">
        <v>149</v>
      </c>
      <c r="D93" s="42">
        <f>TRUNC(137272,-1)</f>
        <v>137270</v>
      </c>
      <c r="E93" s="63">
        <f t="shared" si="2"/>
        <v>453780</v>
      </c>
    </row>
    <row r="94" spans="1:7" ht="17.25" thickBot="1" x14ac:dyDescent="0.35">
      <c r="A94" s="2">
        <v>26</v>
      </c>
      <c r="C94" s="38" t="s">
        <v>47</v>
      </c>
      <c r="D94" s="43">
        <f>TRUNC(542,-1)</f>
        <v>540</v>
      </c>
      <c r="E94" s="64">
        <f t="shared" si="2"/>
        <v>1780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202960</v>
      </c>
      <c r="E95" s="39">
        <f>SUM(E69:E94)</f>
        <v>670900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TRUNC(13303,-1)</f>
        <v>13300</v>
      </c>
      <c r="E98" s="62">
        <f t="shared" ref="E98:E118" si="3">TRUNC(+D98*3.3058,-1)</f>
        <v>43960</v>
      </c>
    </row>
    <row r="99" spans="1:7" x14ac:dyDescent="0.3">
      <c r="A99" s="2">
        <v>2</v>
      </c>
      <c r="C99" s="38" t="s">
        <v>40</v>
      </c>
      <c r="D99" s="42">
        <v>3100</v>
      </c>
      <c r="E99" s="63">
        <f t="shared" si="3"/>
        <v>10240</v>
      </c>
    </row>
    <row r="100" spans="1:7" x14ac:dyDescent="0.3">
      <c r="A100" s="2">
        <v>3</v>
      </c>
      <c r="C100" s="38" t="s">
        <v>41</v>
      </c>
      <c r="D100" s="42">
        <v>26070</v>
      </c>
      <c r="E100" s="63">
        <f t="shared" si="3"/>
        <v>86180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TRUNC(21596,-1)</f>
        <v>21590</v>
      </c>
      <c r="E102" s="63">
        <f t="shared" si="3"/>
        <v>71370</v>
      </c>
    </row>
    <row r="103" spans="1:7" x14ac:dyDescent="0.3">
      <c r="A103" s="2">
        <v>6</v>
      </c>
      <c r="C103" s="38" t="s">
        <v>44</v>
      </c>
      <c r="D103" s="42">
        <f>TRUNC(4997,-1)</f>
        <v>4990</v>
      </c>
      <c r="E103" s="63">
        <f t="shared" si="3"/>
        <v>16490</v>
      </c>
    </row>
    <row r="104" spans="1:7" x14ac:dyDescent="0.3">
      <c r="A104" s="2">
        <v>7</v>
      </c>
      <c r="C104" s="38" t="s">
        <v>45</v>
      </c>
      <c r="D104" s="42">
        <f>TRUNC(809,-1)</f>
        <v>800</v>
      </c>
      <c r="E104" s="63">
        <f t="shared" si="3"/>
        <v>2640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TRUNC(2989,-1)</f>
        <v>2980</v>
      </c>
      <c r="E114" s="63">
        <f t="shared" si="3"/>
        <v>9850</v>
      </c>
      <c r="F114" s="2" t="s">
        <v>258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TRUNC(110975,-1)</f>
        <v>110970</v>
      </c>
      <c r="E117" s="63">
        <f t="shared" si="3"/>
        <v>366840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183800</v>
      </c>
      <c r="E119" s="39">
        <f>SUM(E98:E118)</f>
        <v>607570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TRUNC(2374,-1)</f>
        <v>2370</v>
      </c>
      <c r="E122" s="62">
        <f t="shared" ref="E122:E132" si="4">TRUNC(+D122*3.3058,-1)</f>
        <v>7830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TRUNC(6172,-1)</f>
        <v>6170</v>
      </c>
      <c r="E125" s="63">
        <f t="shared" si="4"/>
        <v>20390</v>
      </c>
    </row>
    <row r="126" spans="1:7" x14ac:dyDescent="0.3">
      <c r="A126" s="2">
        <v>5</v>
      </c>
      <c r="C126" s="38" t="s">
        <v>53</v>
      </c>
      <c r="D126" s="42">
        <f>TRUNC(1355,-1)</f>
        <v>1350</v>
      </c>
      <c r="E126" s="63">
        <f t="shared" si="4"/>
        <v>4460</v>
      </c>
    </row>
    <row r="127" spans="1:7" x14ac:dyDescent="0.3">
      <c r="A127" s="2">
        <v>6</v>
      </c>
      <c r="C127" s="38" t="s">
        <v>56</v>
      </c>
      <c r="D127" s="42">
        <f>TRUNC(396,-1)</f>
        <v>390</v>
      </c>
      <c r="E127" s="63">
        <f t="shared" si="4"/>
        <v>1280</v>
      </c>
    </row>
    <row r="128" spans="1:7" x14ac:dyDescent="0.3">
      <c r="A128" s="2">
        <v>7</v>
      </c>
      <c r="C128" s="38" t="s">
        <v>46</v>
      </c>
      <c r="D128" s="42">
        <f>TRUNC(3234,-1)</f>
        <v>3230</v>
      </c>
      <c r="E128" s="63">
        <f t="shared" si="4"/>
        <v>10670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TRUNC(11213,-1)</f>
        <v>11210</v>
      </c>
      <c r="E130" s="63">
        <f t="shared" si="4"/>
        <v>37050</v>
      </c>
    </row>
    <row r="131" spans="1:7" x14ac:dyDescent="0.3">
      <c r="A131" s="2">
        <v>10</v>
      </c>
      <c r="C131" s="38" t="s">
        <v>149</v>
      </c>
      <c r="D131" s="42">
        <f>TRUNC(31017,-1)</f>
        <v>31010</v>
      </c>
      <c r="E131" s="63">
        <f t="shared" si="4"/>
        <v>102510</v>
      </c>
    </row>
    <row r="132" spans="1:7" ht="18" thickBot="1" x14ac:dyDescent="0.35">
      <c r="A132" s="2">
        <v>11</v>
      </c>
      <c r="C132" s="38" t="s">
        <v>47</v>
      </c>
      <c r="D132" s="43">
        <f>TRUNC(1853+283,-1)</f>
        <v>2130</v>
      </c>
      <c r="E132" s="64">
        <f t="shared" si="4"/>
        <v>7040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57860</v>
      </c>
      <c r="E133" s="39">
        <f>SUM(E122:E132)</f>
        <v>191230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18960</v>
      </c>
      <c r="E137" s="63">
        <f t="shared" si="5"/>
        <v>62670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TRUNC(1414,-1)</f>
        <v>1410</v>
      </c>
      <c r="E139" s="63">
        <f t="shared" si="5"/>
        <v>4660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TRUNC(8386,-1)</f>
        <v>8380</v>
      </c>
      <c r="E141" s="63">
        <f t="shared" si="5"/>
        <v>27700</v>
      </c>
    </row>
    <row r="142" spans="1:7" x14ac:dyDescent="0.3">
      <c r="A142" s="2">
        <v>7</v>
      </c>
      <c r="C142" s="38" t="s">
        <v>58</v>
      </c>
      <c r="D142" s="42">
        <f>TRUNC(9852,-1)</f>
        <v>9850</v>
      </c>
      <c r="E142" s="63">
        <f t="shared" si="5"/>
        <v>32560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38600</v>
      </c>
      <c r="E146" s="39">
        <f>SUM(E136:E145)</f>
        <v>127590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TRUNC(20775+2781,-1)</f>
        <v>23550</v>
      </c>
      <c r="E149" s="62">
        <f>TRUNC(+D149*3.3058,-1)</f>
        <v>77850</v>
      </c>
    </row>
    <row r="150" spans="1:7" x14ac:dyDescent="0.3">
      <c r="A150" s="2">
        <v>2</v>
      </c>
      <c r="C150" s="38" t="s">
        <v>49</v>
      </c>
      <c r="D150" s="42">
        <f>TRUNC(11959,-1)</f>
        <v>11950</v>
      </c>
      <c r="E150" s="63">
        <f>TRUNC(+D150*3.3058,-1)</f>
        <v>39500</v>
      </c>
    </row>
    <row r="151" spans="1:7" x14ac:dyDescent="0.3">
      <c r="A151" s="2">
        <v>3</v>
      </c>
      <c r="C151" s="38" t="s">
        <v>50</v>
      </c>
      <c r="D151" s="42">
        <f>TRUNC(16508,-1)</f>
        <v>16500</v>
      </c>
      <c r="E151" s="63">
        <f>TRUNC(+D151*3.3058,-1)</f>
        <v>54540</v>
      </c>
    </row>
    <row r="152" spans="1:7" x14ac:dyDescent="0.3">
      <c r="A152" s="2">
        <v>4</v>
      </c>
      <c r="C152" s="38" t="s">
        <v>47</v>
      </c>
      <c r="D152" s="42">
        <f>TRUNC(14979,-1)</f>
        <v>14970</v>
      </c>
      <c r="E152" s="63">
        <f>TRUNC(+D152*3.3058,-1)</f>
        <v>49480</v>
      </c>
    </row>
    <row r="153" spans="1:7" ht="17.25" thickBot="1" x14ac:dyDescent="0.35">
      <c r="A153" s="2">
        <v>5</v>
      </c>
      <c r="C153" s="38" t="s">
        <v>149</v>
      </c>
      <c r="D153" s="43">
        <v>34860</v>
      </c>
      <c r="E153" s="64">
        <f>TRUNC(+D153*3.3058,-1)</f>
        <v>115240</v>
      </c>
    </row>
    <row r="154" spans="1:7" x14ac:dyDescent="0.3">
      <c r="A154" s="2">
        <v>6</v>
      </c>
      <c r="C154" s="27" t="s">
        <v>112</v>
      </c>
      <c r="D154" s="39">
        <f>SUM(D149:D153)</f>
        <v>101830</v>
      </c>
      <c r="E154" s="39">
        <f>SUM(E149:E153)</f>
        <v>336610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12560</v>
      </c>
      <c r="E157" s="62">
        <f>TRUNC(+D157*3.3058,-1)</f>
        <v>41520</v>
      </c>
    </row>
    <row r="158" spans="1:7" x14ac:dyDescent="0.3">
      <c r="A158" s="2">
        <v>2</v>
      </c>
      <c r="C158" s="38" t="s">
        <v>52</v>
      </c>
      <c r="D158" s="42">
        <f>TRUNC(4671,-1)</f>
        <v>4670</v>
      </c>
      <c r="E158" s="63">
        <f>TRUNC(+D158*3.3058,-1)</f>
        <v>15430</v>
      </c>
    </row>
    <row r="159" spans="1:7" x14ac:dyDescent="0.3">
      <c r="A159" s="2">
        <v>3</v>
      </c>
      <c r="C159" s="38" t="s">
        <v>47</v>
      </c>
      <c r="D159" s="42">
        <f>TRUNC(3808+1395,-1)</f>
        <v>5200</v>
      </c>
      <c r="E159" s="63">
        <f>TRUNC(+D159*3.3058,-1)</f>
        <v>17190</v>
      </c>
      <c r="F159" s="2" t="s">
        <v>260</v>
      </c>
    </row>
    <row r="160" spans="1:7" ht="17.25" thickBot="1" x14ac:dyDescent="0.35">
      <c r="A160" s="2">
        <v>4</v>
      </c>
      <c r="C160" s="38" t="s">
        <v>149</v>
      </c>
      <c r="D160" s="43">
        <f>TRUNC(4278,-1)</f>
        <v>4270</v>
      </c>
      <c r="E160" s="64">
        <f>TRUNC(+D160*3.3058,-1)</f>
        <v>14110</v>
      </c>
    </row>
    <row r="161" spans="1:5" x14ac:dyDescent="0.3">
      <c r="A161" s="2">
        <v>5</v>
      </c>
      <c r="C161" s="27" t="s">
        <v>112</v>
      </c>
      <c r="D161" s="39">
        <f>SUM(D157:D160)</f>
        <v>26700</v>
      </c>
      <c r="E161" s="39">
        <f>SUM(E157:E160)</f>
        <v>88250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2020-12-08T04:52:05Z</dcterms:modified>
</cp:coreProperties>
</file>