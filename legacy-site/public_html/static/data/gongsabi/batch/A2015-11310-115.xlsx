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2" i="4"/>
  <c r="D141" i="4"/>
  <c r="D140" i="4"/>
  <c r="D137" i="4"/>
  <c r="D132" i="4"/>
  <c r="D130" i="4"/>
  <c r="D128" i="4"/>
  <c r="D127" i="4"/>
  <c r="D125" i="4"/>
  <c r="D124" i="4"/>
  <c r="D122" i="4"/>
  <c r="D118" i="4"/>
  <c r="D114" i="4"/>
  <c r="D104" i="4"/>
  <c r="D103" i="4"/>
  <c r="D102" i="4"/>
  <c r="D101" i="4"/>
  <c r="D100" i="4"/>
  <c r="D99" i="4"/>
  <c r="D98" i="4"/>
  <c r="D94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<sst xmlns="http://schemas.openxmlformats.org/spreadsheetml/2006/main" count="393" uniqueCount="269">
  <si>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</si>
  <si>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</si>
  <si>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</si>
  <si>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</si>
  <si>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</si>
  <si>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</si>
  <si>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</si>
  <si>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</si>
  <si>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</si>
  <si>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</si>
  <si>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</si>
  <si>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</si>
  <si>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</si>
  <si>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</si>
  <si>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</si>
  <si>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</si>
  <si>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</si>
  <si>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</si>
  <si>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</si>
  <si>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</si>
  <si>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</si>
  <si>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</si>
  <si>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</si>
  <si>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</si>
  <si>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</si>
  <si>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</si>
  <si>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</si>
  <si>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</si>
  <si>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</si>
  <si>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</si>
  <si>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</si>
  <si>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</si>
  <si>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</si>
  <si>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</si>
  <si>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</si>
  <si>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</si>
  <si>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</si>
  <si>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</si>
  <si>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</si>
  <si>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</si>
  <si>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</si>
  <si>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</si>
  <si>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</si>
  <si>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</si>
  <si>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</si>
  <si>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</si>
  <si>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</si>
  <si>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</si>
  <si>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</si>
  <si>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</si>
  <si>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</si>
  <si>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</si>
  <si>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</si>
  <si>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</si>
  <si>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</si>
  <si>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</si>
  <si>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</si>
  <si>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</si>
  <si>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</si>
  <si>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</si>
  <si>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</si>
  <si>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</si>
  <si>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</si>
  <si>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</si>
  <si>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</si>
  <si>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</si>
  <si>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</si>
  <si>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</si>
  <si>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</si>
  <si>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</si>
  <si>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</si>
  <si>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</si>
  <si>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</si>
  <si>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</si>
  <si>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</si>
  <si>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</si>
  <si>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</si>
  <si>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</si>
  <si>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</si>
  <si>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</si>
  <si>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</si>
  <si>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</si>
  <si>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</si>
  <si>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</si>
  <si>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</si>
  <si>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</si>
  <si>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</si>
  <si>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</si>
  <si>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</si>
  <si>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</si>
  <si>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</si>
  <si>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</si>
  <si>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</si>
  <si>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</si>
  <si>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</si>
  <si>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</si>
  <si>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</si>
  <si>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</si>
  <si>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</si>
  <si>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</si>
  <si>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</si>
  <si>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</si>
  <si>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</si>
  <si>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</si>
  <si>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</si>
  <si>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</si>
  <si>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</si>
  <si>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</si>
  <si>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</si>
  <si>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</si>
  <si>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</si>
  <si>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</si>
  <si>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</si>
  <si>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</si>
  <si>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</si>
  <si>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</si>
  <si>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</si>
  <si>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</si>
  <si>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</si>
  <si>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</si>
  <si>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</si>
  <si>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</si>
  <si>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</si>
  <si>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</si>
  <si>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</si>
  <si>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</si>
  <si>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</si>
  <si>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</si>
  <si>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</si>
  <si>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</si>
  <si>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</si>
  <si>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</si>
  <si>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</si>
  <si>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</si>
  <si>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</si>
  <si>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</si>
  <si>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</si>
  <si>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</si>
  <si>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</si>
  <si>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</si>
  <si>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</si>
  <si>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</si>
  <si>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</si>
  <si>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</si>
  <si>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</si>
  <si>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</si>
  <si>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</si>
  <si>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</si>
  <si>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</si>
  <si>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</si>
  <si>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</si>
  <si>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</si>
  <si>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</si>
  <si>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</si>
  <si>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</si>
  <si>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</si>
  <si>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</si>
  <si>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</si>
  <si>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</si>
  <si>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</si>
  <si>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</si>
  <si>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</si>
  <si>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</si>
  <si>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</si>
  <si>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</si>
  <si>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</si>
  <si>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</si>
  <si>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</si>
  <si>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</si>
  <si>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</si>
  <si>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</si>
  <si>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</si>
  <si>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</si>
  <si>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</si>
  <si>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</si>
  <si>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</si>
  <si>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</si>
  <si>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</si>
  <si>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</si>
  <si>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</si>
  <si>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</si>
  <si>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</si>
  <si>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</si>
  <si>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</si>
  <si>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</si>
  <si>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</si>
  <si>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</si>
  <si>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</si>
  <si>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</si>
  <si>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</si>
  <si>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</si>
  <si>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</si>
  <si>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</si>
  <si>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</si>
  <si>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</si>
  <si>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</si>
  <si>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</si>
  <si>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</si>
  <si>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</si>
  <si>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</si>
  <si>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</si>
  <si>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</si>
  <si>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</si>
  <si>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</si>
  <si>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</si>
  <si>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</si>
  <si>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</si>
  <si>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</si>
  <si>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</si>
  <si>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</si>
  <si>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</si>
  <si>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</si>
  <si>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</si>
  <si>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</si>
  <si>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</si>
  <si>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</si>
  <si>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</si>
  <si>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</si>
  <si>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</si>
  <si>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</si>
  <si>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</si>
  <si>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</si>
  <si>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</si>
  <si>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</si>
  <si>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</si>
  <si>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</si>
  <si>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</si>
  <si>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</si>
  <si>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</si>
  <si>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</si>
  <si>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</si>
  <si>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</si>
  <si>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</si>
  <si>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</si>
  <si>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</si>
  <si>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</si>
  <si>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</si>
  <si>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</si>
  <si>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</si>
  <si>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</si>
  <si>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</si>
  <si>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</si>
  <si>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</si>
  <si>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</si>
  <si>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</si>
  <si>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</si>
  <si>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</si>
  <si>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</si>
  <si>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</si>
  <si>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</si>
  <si>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</si>
  <si>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</si>
  <si>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</si>
  <si>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기초공사, 골재비및운반비, 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</si>
  <si>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</si>
  <si>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</si>
  <si>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</si>
  <si>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</si>
  <si>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옥외소화배관공사, 펌프실배관공사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</si>
  <si>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</si>
  <si>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</si>
  <si>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 xml:space="preserve"> 함백중고 이전 신축공사</t>
    <phoneticPr fontId="2" type="noConversion"/>
  </si>
  <si>
    <t>강원도</t>
  </si>
  <si>
    <t>공조배관공사,난방배관공사,기타공사</t>
    <phoneticPr fontId="2" type="noConversion"/>
  </si>
  <si>
    <t>사급자재비,운반비, 기타공사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</si>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</sst>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261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8930.1200000000008</v>
      </c>
      <c r="D7" s="36">
        <f>+C7/3.3058</f>
        <v>2701.3491439288523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262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701820</v>
      </c>
      <c r="E25" s="59">
        <f t="shared" si="0"/>
        <v>2320070</v>
      </c>
    </row>
    <row r="26" spans="1:5" x14ac:dyDescent="0.3">
      <c r="B26" s="2">
        <v>3</v>
      </c>
      <c r="C26" s="35" t="s">
        <v>95</v>
      </c>
      <c r="D26" s="45">
        <f>+D66</f>
        <v>2200</v>
      </c>
      <c r="E26" s="59">
        <f t="shared" si="0"/>
        <v>7270</v>
      </c>
    </row>
    <row r="27" spans="1:5" x14ac:dyDescent="0.3">
      <c r="B27" s="2">
        <v>4</v>
      </c>
      <c r="C27" s="35" t="s">
        <v>96</v>
      </c>
      <c r="D27" s="45">
        <f>+D95</f>
        <v>56290</v>
      </c>
      <c r="E27" s="59">
        <f t="shared" si="0"/>
        <v>186080</v>
      </c>
    </row>
    <row r="28" spans="1:5" x14ac:dyDescent="0.3">
      <c r="B28" s="2">
        <v>5</v>
      </c>
      <c r="C28" s="35" t="s">
        <v>97</v>
      </c>
      <c r="D28" s="45">
        <f>+D119</f>
        <v>91500</v>
      </c>
      <c r="E28" s="59">
        <f t="shared" si="0"/>
        <v>302480</v>
      </c>
    </row>
    <row r="29" spans="1:5" x14ac:dyDescent="0.3">
      <c r="B29" s="2">
        <v>6</v>
      </c>
      <c r="C29" s="35" t="s">
        <v>98</v>
      </c>
      <c r="D29" s="45">
        <f>+D133</f>
        <v>29350</v>
      </c>
      <c r="E29" s="59">
        <f t="shared" si="0"/>
        <v>97020</v>
      </c>
    </row>
    <row r="30" spans="1:5" x14ac:dyDescent="0.3">
      <c r="B30" s="2">
        <v>7</v>
      </c>
      <c r="C30" s="35" t="s">
        <v>99</v>
      </c>
      <c r="D30" s="45">
        <f>+D146</f>
        <v>29600</v>
      </c>
      <c r="E30" s="59">
        <f t="shared" si="0"/>
        <v>97850</v>
      </c>
    </row>
    <row r="31" spans="1:5" x14ac:dyDescent="0.3">
      <c r="B31" s="2">
        <v>8</v>
      </c>
      <c r="C31" s="35" t="s">
        <v>100</v>
      </c>
      <c r="D31" s="45">
        <f>+D154</f>
        <v>31330</v>
      </c>
      <c r="E31" s="59">
        <f t="shared" si="0"/>
        <v>103570</v>
      </c>
    </row>
    <row r="32" spans="1:5" x14ac:dyDescent="0.3">
      <c r="B32" s="2">
        <v>9</v>
      </c>
      <c r="C32" s="35" t="s">
        <v>101</v>
      </c>
      <c r="D32" s="45">
        <f>+D161</f>
        <v>45440</v>
      </c>
      <c r="E32" s="59">
        <f t="shared" si="0"/>
        <v>150210</v>
      </c>
    </row>
    <row r="33" spans="1:7" x14ac:dyDescent="0.3">
      <c r="B33" s="2">
        <v>10</v>
      </c>
      <c r="C33" s="35" t="s">
        <v>154</v>
      </c>
      <c r="D33" s="53">
        <f>TRUNC(SUM(D24:D32)*0.275,-1)</f>
        <v>271570</v>
      </c>
      <c r="E33" s="60">
        <f t="shared" si="0"/>
        <v>897750</v>
      </c>
    </row>
    <row r="34" spans="1:7" x14ac:dyDescent="0.3">
      <c r="C34" s="35" t="s">
        <v>112</v>
      </c>
      <c r="D34" s="44">
        <f>SUM(D24:D33)</f>
        <v>1259100</v>
      </c>
      <c r="E34" s="44">
        <f>SUM(E24:E33)</f>
        <v>4162300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TRUNC(46644,-1)</f>
        <v>46640</v>
      </c>
      <c r="E40" s="62">
        <f t="shared" ref="E40:E59" si="1">TRUNC(+D40*3.3058,-1)</f>
        <v>154180</v>
      </c>
    </row>
    <row r="41" spans="1:7" x14ac:dyDescent="0.3">
      <c r="A41" s="2">
        <v>2</v>
      </c>
      <c r="C41" s="38" t="s">
        <v>13</v>
      </c>
      <c r="D41" s="42">
        <f>TRUNC(159906,-1)</f>
        <v>159900</v>
      </c>
      <c r="E41" s="63">
        <f t="shared" si="1"/>
        <v>528590</v>
      </c>
    </row>
    <row r="42" spans="1:7" x14ac:dyDescent="0.3">
      <c r="A42" s="2">
        <v>3</v>
      </c>
      <c r="C42" s="38" t="s">
        <v>14</v>
      </c>
      <c r="D42" s="42">
        <f>TRUNC(14069,-1)</f>
        <v>14060</v>
      </c>
      <c r="E42" s="63">
        <f t="shared" si="1"/>
        <v>46470</v>
      </c>
    </row>
    <row r="43" spans="1:7" x14ac:dyDescent="0.3">
      <c r="A43" s="2">
        <v>4</v>
      </c>
      <c r="C43" s="38" t="s">
        <v>16</v>
      </c>
      <c r="D43" s="42">
        <f>TRUNC(38484,-1)</f>
        <v>38480</v>
      </c>
      <c r="E43" s="63">
        <f t="shared" si="1"/>
        <v>127200</v>
      </c>
    </row>
    <row r="44" spans="1:7" x14ac:dyDescent="0.3">
      <c r="A44" s="2">
        <v>5</v>
      </c>
      <c r="C44" s="38" t="s">
        <v>17</v>
      </c>
      <c r="D44" s="42">
        <f>TRUNC(33986,-1)</f>
        <v>33980</v>
      </c>
      <c r="E44" s="63">
        <f t="shared" si="1"/>
        <v>112330</v>
      </c>
    </row>
    <row r="45" spans="1:7" x14ac:dyDescent="0.3">
      <c r="A45" s="2">
        <v>6</v>
      </c>
      <c r="C45" s="38" t="s">
        <v>18</v>
      </c>
      <c r="D45" s="42">
        <f>TRUNC(12291,-1)</f>
        <v>12290</v>
      </c>
      <c r="E45" s="63">
        <f t="shared" si="1"/>
        <v>40620</v>
      </c>
    </row>
    <row r="46" spans="1:7" x14ac:dyDescent="0.3">
      <c r="A46" s="2">
        <v>7</v>
      </c>
      <c r="C46" s="38" t="s">
        <v>19</v>
      </c>
      <c r="D46" s="42">
        <f>TRUNC(51577,-1)</f>
        <v>51570</v>
      </c>
      <c r="E46" s="63">
        <f t="shared" si="1"/>
        <v>170480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TRUNC(82601,-1)</f>
        <v>82600</v>
      </c>
      <c r="E48" s="63">
        <f t="shared" si="1"/>
        <v>273050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TRUNC(26697,-1)</f>
        <v>26690</v>
      </c>
      <c r="E49" s="63">
        <f t="shared" si="1"/>
        <v>88230</v>
      </c>
    </row>
    <row r="50" spans="1:7" x14ac:dyDescent="0.3">
      <c r="A50" s="2">
        <v>11</v>
      </c>
      <c r="C50" s="38" t="s">
        <v>155</v>
      </c>
      <c r="D50" s="42">
        <f>TRUNC(66131,-1)</f>
        <v>66130</v>
      </c>
      <c r="E50" s="63">
        <f t="shared" si="1"/>
        <v>218610</v>
      </c>
      <c r="F50" s="2" t="s">
        <v>259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TRUNC(9839,-1)</f>
        <v>9830</v>
      </c>
      <c r="E52" s="63">
        <f t="shared" si="1"/>
        <v>32490</v>
      </c>
    </row>
    <row r="53" spans="1:7" x14ac:dyDescent="0.3">
      <c r="A53" s="2">
        <v>14</v>
      </c>
      <c r="C53" s="38" t="s">
        <v>25</v>
      </c>
      <c r="D53" s="42">
        <f>TRUNC(125305,-1)</f>
        <v>125300</v>
      </c>
      <c r="E53" s="63">
        <f t="shared" si="1"/>
        <v>414210</v>
      </c>
      <c r="F53" s="2" t="s">
        <v>260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TRUNC(5687+7308+21356,-1)</f>
        <v>34350</v>
      </c>
      <c r="E58" s="63">
        <f t="shared" si="1"/>
        <v>113550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701820</v>
      </c>
      <c r="E60" s="39">
        <f>SUM(E40:E59)</f>
        <v>2320010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TRUNC(2204,-1)</f>
        <v>2200</v>
      </c>
      <c r="E63" s="62">
        <f>TRUNC(+D63*3.3058,-1)</f>
        <v>7270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2200</v>
      </c>
      <c r="E66" s="65">
        <f>SUM(E63:E65)</f>
        <v>7270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TRUNC(6546,-1)</f>
        <v>6540</v>
      </c>
      <c r="E69" s="62">
        <f t="shared" ref="E69:E94" si="2">TRUNC(+D69*3.3058,-1)</f>
        <v>21610</v>
      </c>
    </row>
    <row r="70" spans="1:7" ht="16.5" customHeight="1" x14ac:dyDescent="0.3">
      <c r="A70" s="2">
        <v>2</v>
      </c>
      <c r="C70" s="38" t="s">
        <v>31</v>
      </c>
      <c r="D70" s="42">
        <f>TRUNC(2498,-1)</f>
        <v>2490</v>
      </c>
      <c r="E70" s="63">
        <f t="shared" si="2"/>
        <v>8230</v>
      </c>
    </row>
    <row r="71" spans="1:7" x14ac:dyDescent="0.3">
      <c r="A71" s="2">
        <v>3</v>
      </c>
      <c r="C71" s="38" t="s">
        <v>32</v>
      </c>
      <c r="D71" s="42">
        <f>TRUNC(2663,-1)</f>
        <v>2660</v>
      </c>
      <c r="E71" s="63">
        <f t="shared" si="2"/>
        <v>8790</v>
      </c>
    </row>
    <row r="72" spans="1:7" x14ac:dyDescent="0.3">
      <c r="A72" s="2">
        <v>4</v>
      </c>
      <c r="C72" s="38" t="s">
        <v>33</v>
      </c>
      <c r="D72" s="42">
        <f>TRUNC(4337,-1)</f>
        <v>4330</v>
      </c>
      <c r="E72" s="63">
        <f t="shared" si="2"/>
        <v>14310</v>
      </c>
    </row>
    <row r="73" spans="1:7" x14ac:dyDescent="0.3">
      <c r="A73" s="2">
        <v>5</v>
      </c>
      <c r="C73" s="38" t="s">
        <v>34</v>
      </c>
      <c r="D73" s="42">
        <f>TRUNC(14261,-1)</f>
        <v>14260</v>
      </c>
      <c r="E73" s="63">
        <f t="shared" si="2"/>
        <v>47140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TRUNC(8762,-1)</f>
        <v>8760</v>
      </c>
      <c r="E89" s="63">
        <f t="shared" si="2"/>
        <v>28950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TRUNC(6469,-1)</f>
        <v>6460</v>
      </c>
      <c r="E91" s="63">
        <f t="shared" si="2"/>
        <v>21350</v>
      </c>
    </row>
    <row r="92" spans="1:7" x14ac:dyDescent="0.3">
      <c r="A92" s="2">
        <v>24</v>
      </c>
      <c r="C92" s="38" t="s">
        <v>38</v>
      </c>
      <c r="D92" s="42">
        <f>TRUNC(9346,-1)</f>
        <v>9340</v>
      </c>
      <c r="E92" s="63">
        <f t="shared" si="2"/>
        <v>30870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TRUNC(394+958+100,-1)</f>
        <v>1450</v>
      </c>
      <c r="E94" s="64">
        <f t="shared" si="2"/>
        <v>4790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56290</v>
      </c>
      <c r="E95" s="39">
        <f>SUM(E69:E94)</f>
        <v>186040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TRUNC(25482,-1)</f>
        <v>25480</v>
      </c>
      <c r="E98" s="62">
        <f t="shared" ref="E98:E118" si="3">TRUNC(+D98*3.3058,-1)</f>
        <v>84230</v>
      </c>
    </row>
    <row r="99" spans="1:7" x14ac:dyDescent="0.3">
      <c r="A99" s="2">
        <v>2</v>
      </c>
      <c r="C99" s="38" t="s">
        <v>40</v>
      </c>
      <c r="D99" s="42">
        <f>TRUNC(1944,-1)</f>
        <v>1940</v>
      </c>
      <c r="E99" s="63">
        <f t="shared" si="3"/>
        <v>6410</v>
      </c>
    </row>
    <row r="100" spans="1:7" x14ac:dyDescent="0.3">
      <c r="A100" s="2">
        <v>3</v>
      </c>
      <c r="C100" s="38" t="s">
        <v>41</v>
      </c>
      <c r="D100" s="42">
        <f>TRUNC(32477,-1)</f>
        <v>32470</v>
      </c>
      <c r="E100" s="63">
        <f t="shared" si="3"/>
        <v>107330</v>
      </c>
    </row>
    <row r="101" spans="1:7" x14ac:dyDescent="0.3">
      <c r="A101" s="2">
        <v>4</v>
      </c>
      <c r="C101" s="38" t="s">
        <v>42</v>
      </c>
      <c r="D101" s="42">
        <f>TRUNC(1657,-1)</f>
        <v>1650</v>
      </c>
      <c r="E101" s="63">
        <f t="shared" si="3"/>
        <v>5450</v>
      </c>
    </row>
    <row r="102" spans="1:7" x14ac:dyDescent="0.3">
      <c r="A102" s="2">
        <v>5</v>
      </c>
      <c r="C102" s="38" t="s">
        <v>43</v>
      </c>
      <c r="D102" s="42">
        <f>TRUNC(15027,-1)</f>
        <v>15020</v>
      </c>
      <c r="E102" s="63">
        <f t="shared" si="3"/>
        <v>49650</v>
      </c>
    </row>
    <row r="103" spans="1:7" x14ac:dyDescent="0.3">
      <c r="A103" s="2">
        <v>6</v>
      </c>
      <c r="C103" s="38" t="s">
        <v>44</v>
      </c>
      <c r="D103" s="42">
        <f>TRUNC(8573,-1)</f>
        <v>8570</v>
      </c>
      <c r="E103" s="63">
        <f t="shared" si="3"/>
        <v>28330</v>
      </c>
    </row>
    <row r="104" spans="1:7" x14ac:dyDescent="0.3">
      <c r="A104" s="2">
        <v>7</v>
      </c>
      <c r="C104" s="38" t="s">
        <v>45</v>
      </c>
      <c r="D104" s="42">
        <f>TRUNC(1856,-1)</f>
        <v>1850</v>
      </c>
      <c r="E104" s="63">
        <f t="shared" si="3"/>
        <v>6110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TRUNC(2391,-1)</f>
        <v>2390</v>
      </c>
      <c r="E114" s="63">
        <f t="shared" si="3"/>
        <v>7900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TRUNC(2131,-1)</f>
        <v>2130</v>
      </c>
      <c r="E118" s="64">
        <f t="shared" si="3"/>
        <v>7040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91500</v>
      </c>
      <c r="E119" s="39">
        <f>SUM(E98:E118)</f>
        <v>302450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TRUNC(2998,-1)</f>
        <v>2990</v>
      </c>
      <c r="E122" s="62">
        <f t="shared" ref="E122:E132" si="4">TRUNC(+D122*3.3058,-1)</f>
        <v>9880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TRUNC(778,-1)</f>
        <v>770</v>
      </c>
      <c r="E124" s="63">
        <f t="shared" si="4"/>
        <v>2540</v>
      </c>
    </row>
    <row r="125" spans="1:7" x14ac:dyDescent="0.3">
      <c r="A125" s="2">
        <v>4</v>
      </c>
      <c r="C125" s="38" t="s">
        <v>138</v>
      </c>
      <c r="D125" s="42">
        <f>TRUNC(4012,-1)</f>
        <v>4010</v>
      </c>
      <c r="E125" s="63">
        <f t="shared" si="4"/>
        <v>13250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TRUNC(716,-1)</f>
        <v>710</v>
      </c>
      <c r="E127" s="63">
        <f t="shared" si="4"/>
        <v>2340</v>
      </c>
    </row>
    <row r="128" spans="1:7" x14ac:dyDescent="0.3">
      <c r="A128" s="2">
        <v>7</v>
      </c>
      <c r="C128" s="38" t="s">
        <v>46</v>
      </c>
      <c r="D128" s="42">
        <f>TRUNC(3468,-1)</f>
        <v>3460</v>
      </c>
      <c r="E128" s="63">
        <f t="shared" si="4"/>
        <v>11430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TRUNC(15545,-1)</f>
        <v>15540</v>
      </c>
      <c r="E130" s="63">
        <f t="shared" si="4"/>
        <v>51370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TRUNC(1665+208,-1)</f>
        <v>1870</v>
      </c>
      <c r="E132" s="64">
        <f t="shared" si="4"/>
        <v>6180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29350</v>
      </c>
      <c r="E133" s="39">
        <f>SUM(E122:E132)</f>
        <v>96990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TRUNC(192+2390,-1)</f>
        <v>2580</v>
      </c>
      <c r="E137" s="63">
        <f t="shared" si="5"/>
        <v>8520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TRUNC(2037,-1)</f>
        <v>2030</v>
      </c>
      <c r="E140" s="63">
        <f t="shared" si="5"/>
        <v>6710</v>
      </c>
    </row>
    <row r="141" spans="1:7" x14ac:dyDescent="0.3">
      <c r="A141" s="2">
        <v>6</v>
      </c>
      <c r="C141" s="38" t="s">
        <v>59</v>
      </c>
      <c r="D141" s="42">
        <f>TRUNC(5605,-1)</f>
        <v>5600</v>
      </c>
      <c r="E141" s="63">
        <f t="shared" si="5"/>
        <v>18510</v>
      </c>
    </row>
    <row r="142" spans="1:7" x14ac:dyDescent="0.3">
      <c r="A142" s="2">
        <v>7</v>
      </c>
      <c r="C142" s="38" t="s">
        <v>58</v>
      </c>
      <c r="D142" s="42">
        <f>TRUNC(3794,-1)</f>
        <v>3790</v>
      </c>
      <c r="E142" s="63">
        <f t="shared" si="5"/>
        <v>12520</v>
      </c>
    </row>
    <row r="143" spans="1:7" x14ac:dyDescent="0.3">
      <c r="A143" s="2">
        <v>8</v>
      </c>
      <c r="C143" s="38" t="s">
        <v>62</v>
      </c>
      <c r="D143" s="42">
        <v>4300</v>
      </c>
      <c r="E143" s="63">
        <f t="shared" si="5"/>
        <v>14210</v>
      </c>
    </row>
    <row r="144" spans="1:7" x14ac:dyDescent="0.3">
      <c r="A144" s="2">
        <v>9</v>
      </c>
      <c r="C144" s="38" t="s">
        <v>63</v>
      </c>
      <c r="D144" s="42">
        <f>TRUNC(11306,-1)</f>
        <v>11300</v>
      </c>
      <c r="E144" s="63">
        <f t="shared" si="5"/>
        <v>37350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29600</v>
      </c>
      <c r="E146" s="39">
        <f>SUM(E136:E145)</f>
        <v>97820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TRUNC(4138+1353,-1)</f>
        <v>5490</v>
      </c>
      <c r="E149" s="62">
        <f>TRUNC(+D149*3.3058,-1)</f>
        <v>18140</v>
      </c>
    </row>
    <row r="150" spans="1:7" x14ac:dyDescent="0.3">
      <c r="A150" s="2">
        <v>2</v>
      </c>
      <c r="C150" s="38" t="s">
        <v>49</v>
      </c>
      <c r="D150" s="42">
        <f>TRUNC(4807,-1)</f>
        <v>4800</v>
      </c>
      <c r="E150" s="63">
        <f>TRUNC(+D150*3.3058,-1)</f>
        <v>15860</v>
      </c>
    </row>
    <row r="151" spans="1:7" x14ac:dyDescent="0.3">
      <c r="A151" s="2">
        <v>3</v>
      </c>
      <c r="C151" s="38" t="s">
        <v>50</v>
      </c>
      <c r="D151" s="42">
        <f>TRUNC(6694,-1)</f>
        <v>6690</v>
      </c>
      <c r="E151" s="63">
        <f>TRUNC(+D151*3.3058,-1)</f>
        <v>22110</v>
      </c>
    </row>
    <row r="152" spans="1:7" x14ac:dyDescent="0.3">
      <c r="A152" s="2">
        <v>4</v>
      </c>
      <c r="C152" s="38" t="s">
        <v>47</v>
      </c>
      <c r="D152" s="42">
        <f>TRUNC(7666+285+6406,-1)</f>
        <v>14350</v>
      </c>
      <c r="E152" s="63">
        <f>TRUNC(+D152*3.3058,-1)</f>
        <v>47430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31330</v>
      </c>
      <c r="E154" s="39">
        <f>SUM(E149:E153)</f>
        <v>103540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TRUNC(26849,-1)</f>
        <v>26840</v>
      </c>
      <c r="E157" s="62">
        <f>TRUNC(+D157*3.3058,-1)</f>
        <v>88720</v>
      </c>
    </row>
    <row r="158" spans="1:7" x14ac:dyDescent="0.3">
      <c r="A158" s="2">
        <v>2</v>
      </c>
      <c r="C158" s="38" t="s">
        <v>52</v>
      </c>
      <c r="D158" s="42">
        <f>TRUNC(14619,-1)</f>
        <v>14610</v>
      </c>
      <c r="E158" s="63">
        <f>TRUNC(+D158*3.3058,-1)</f>
        <v>48290</v>
      </c>
    </row>
    <row r="159" spans="1:7" x14ac:dyDescent="0.3">
      <c r="A159" s="2">
        <v>3</v>
      </c>
      <c r="C159" s="38" t="s">
        <v>47</v>
      </c>
      <c r="D159" s="42">
        <f>TRUNC(2487+1508,-1)</f>
        <v>3990</v>
      </c>
      <c r="E159" s="63">
        <f>TRUNC(+D159*3.3058,-1)</f>
        <v>13190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45440</v>
      </c>
      <c r="E161" s="39">
        <f>SUM(E157:E160)</f>
        <v>150200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2020-12-07T10:08:41Z</dcterms:modified>
</cp:coreProperties>
</file>