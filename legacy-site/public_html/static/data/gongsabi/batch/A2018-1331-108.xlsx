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4" i="4" l="1"/>
  <c r="D159" i="4" l="1"/>
  <c r="D158" i="4"/>
  <c r="D157" i="4"/>
  <c r="D152" i="4"/>
  <c r="D151" i="4"/>
  <c r="D150" i="4"/>
  <c r="D149" i="4"/>
  <c r="D145" i="4"/>
  <c r="D139" i="4"/>
  <c r="D144" i="4"/>
  <c r="D143" i="4"/>
  <c r="D142" i="4"/>
  <c r="D141" i="4"/>
  <c r="D137" i="4"/>
  <c r="D140" i="4"/>
  <c r="D131" i="4"/>
  <c r="D132" i="4"/>
  <c r="D124" i="4"/>
  <c r="D125" i="4"/>
  <c r="D122" i="4"/>
  <c r="D130" i="4"/>
  <c r="D126" i="4"/>
  <c r="D118" i="4"/>
  <c r="D104" i="4"/>
  <c r="D103" i="4"/>
  <c r="D102" i="4"/>
  <c r="D101" i="4"/>
  <c r="D100" i="4"/>
  <c r="D99" i="4"/>
  <c r="D114" i="4"/>
  <c r="D98" i="4"/>
  <c r="D116" i="4"/>
  <c r="D75" i="4"/>
  <c r="D92" i="4"/>
  <c r="D91" i="4"/>
  <c r="D89" i="4"/>
  <c r="D73" i="4"/>
  <c r="D72" i="4"/>
  <c r="D71" i="4"/>
  <c r="D70" i="4"/>
  <c r="D69" i="4"/>
  <c r="D65" i="4"/>
  <c r="D63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D117" i="4"/>
  <c r="D59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33" i="4"/>
  <c r="E119" i="4"/>
  <c r="E95" i="4"/>
  <c r="E66" i="4"/>
  <c r="E146" i="4"/>
  <c r="E60" i="4"/>
  <c r="D161" i="4"/>
  <c r="D154" i="4"/>
  <c r="D146" i="4"/>
  <c r="D133" i="4"/>
  <c r="D29" i="4" s="1"/>
  <c r="E29" i="4" s="1"/>
  <c r="D119" i="4"/>
  <c r="D28" i="4" s="1"/>
  <c r="E28" i="4" s="1"/>
  <c r="D95" i="4"/>
  <c r="D66" i="4"/>
  <c r="D26" i="4" s="1"/>
  <c r="E26" i="4" s="1"/>
  <c r="D60" i="4"/>
  <c r="D25" i="4" s="1"/>
  <c r="D24" i="4"/>
  <c r="E24" i="4" s="1"/>
  <c r="D27" i="4"/>
  <c r="E27" i="4" s="1"/>
  <c r="D30" i="4"/>
  <c r="E30" i="4" s="1"/>
  <c r="D31" i="4"/>
  <c r="E31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<sst xmlns="http://schemas.openxmlformats.org/spreadsheetml/2006/main" count="395" uniqueCount="270">
  <si>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</si>
  <si>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</si>
  <si>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</si>
  <si>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</si>
  <si>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</si>
  <si>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</si>
  <si>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</si>
  <si>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</si>
  <si>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</si>
  <si>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</si>
  <si>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</si>
  <si>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</si>
  <si>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</si>
  <si>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</si>
  <si>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</si>
  <si>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</si>
  <si>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</si>
  <si>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</si>
  <si>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</si>
  <si>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</si>
  <si>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</si>
  <si>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</si>
  <si>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</si>
  <si>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</si>
  <si>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</si>
  <si>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</si>
  <si>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</si>
  <si>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</si>
  <si>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</si>
  <si>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</si>
  <si>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</si>
  <si>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</si>
  <si>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</si>
  <si>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</si>
  <si>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</si>
  <si>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</si>
  <si>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</si>
  <si>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</si>
  <si>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</si>
  <si>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</si>
  <si>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</si>
  <si>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</si>
  <si>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</si>
  <si>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</si>
  <si>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</si>
  <si>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</si>
  <si>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</si>
  <si>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</si>
  <si>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</si>
  <si>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</si>
  <si>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</si>
  <si>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</si>
  <si>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</si>
  <si>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</si>
  <si>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</si>
  <si>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</si>
  <si>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</si>
  <si>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</si>
  <si>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</si>
  <si>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</si>
  <si>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</si>
  <si>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</si>
  <si>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</si>
  <si>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</si>
  <si>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</si>
  <si>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</si>
  <si>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</si>
  <si>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</si>
  <si>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</si>
  <si>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</si>
  <si>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</si>
  <si>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</si>
  <si>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</si>
  <si>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</si>
  <si>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</si>
  <si>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</si>
  <si>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</si>
  <si>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</si>
  <si>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</si>
  <si>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</si>
  <si>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</si>
  <si>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</si>
  <si>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</si>
  <si>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</si>
  <si>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</si>
  <si>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</si>
  <si>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</si>
  <si>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</si>
  <si>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</si>
  <si>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</si>
  <si>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</si>
  <si>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</si>
  <si>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</si>
  <si>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</si>
  <si>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</si>
  <si>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</si>
  <si>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</si>
  <si>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</si>
  <si>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</si>
  <si>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</si>
  <si>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</si>
  <si>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</si>
  <si>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</si>
  <si>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</si>
  <si>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</si>
  <si>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</si>
  <si>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</si>
  <si>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</si>
  <si>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</si>
  <si>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</si>
  <si>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</si>
  <si>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</si>
  <si>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</si>
  <si>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</si>
  <si>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</si>
  <si>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</si>
  <si>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</si>
  <si>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</si>
  <si>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</si>
  <si>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</si>
  <si>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</si>
  <si>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</si>
  <si>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</si>
  <si>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</si>
  <si>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</si>
  <si>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</si>
  <si>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</si>
  <si>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</si>
  <si>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</si>
  <si>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</si>
  <si>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</si>
  <si>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</si>
  <si>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</si>
  <si>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</si>
  <si>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</si>
  <si>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</si>
  <si>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</si>
  <si>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</si>
  <si>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</si>
  <si>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</si>
  <si>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</si>
  <si>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</si>
  <si>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</si>
  <si>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</si>
  <si>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</si>
  <si>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</si>
  <si>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</si>
  <si>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</si>
  <si>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</si>
  <si>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</si>
  <si>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</si>
  <si>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</si>
  <si>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</si>
  <si>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</si>
  <si>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</si>
  <si>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</si>
  <si>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</si>
  <si>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</si>
  <si>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</si>
  <si>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</si>
  <si>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</si>
  <si>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</si>
  <si>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</si>
  <si>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</si>
  <si>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</si>
  <si>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</si>
  <si>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</si>
  <si>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</si>
  <si>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</si>
  <si>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</si>
  <si>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</si>
  <si>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</si>
  <si>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</si>
  <si>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</si>
  <si>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</si>
  <si>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</si>
  <si>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</si>
  <si>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</si>
  <si>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</si>
  <si>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</si>
  <si>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</si>
  <si>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</si>
  <si>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</si>
  <si>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</si>
  <si>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</si>
  <si>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</si>
  <si>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</si>
  <si>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</si>
  <si>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</si>
  <si>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</si>
  <si>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</si>
  <si>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</si>
  <si>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</si>
  <si>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</si>
  <si>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</si>
  <si>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</si>
  <si>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</si>
  <si>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</si>
  <si>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</si>
  <si>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</si>
  <si>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</si>
  <si>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</si>
  <si>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</si>
  <si>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</si>
  <si>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</si>
  <si>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</si>
  <si>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</si>
  <si>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</si>
  <si>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</si>
  <si>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</si>
  <si>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</si>
  <si>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</si>
  <si>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</si>
  <si>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</si>
  <si>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</si>
  <si>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</si>
  <si>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</si>
  <si>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</si>
  <si>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</si>
  <si>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</si>
  <si>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</si>
  <si>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</si>
  <si>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</si>
  <si>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</si>
  <si>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</si>
  <si>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</si>
  <si>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</si>
  <si>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</si>
  <si>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</si>
  <si>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</si>
  <si>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</si>
  <si>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</si>
  <si>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</si>
  <si>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</si>
  <si>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</si>
  <si>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</si>
  <si>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</si>
  <si>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</si>
  <si>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</si>
  <si>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</si>
  <si>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</si>
  <si>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</si>
  <si>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</si>
  <si>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</si>
  <si>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</si>
  <si>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</si>
  <si>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</si>
  <si>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</si>
  <si>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보안수사대 통합청사 신축공사</t>
    <phoneticPr fontId="2" type="noConversion"/>
  </si>
  <si>
    <t>업무</t>
  </si>
  <si>
    <t>서울</t>
  </si>
  <si>
    <t>기초공사,해체및철거공사,폐기물처리비,골재비및운반비,작업부산물,기타공사</t>
    <phoneticPr fontId="2" type="noConversion"/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</si>
  <si>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</si>
  <si>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</si>
  <si>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</si>
  <si>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전기인입 및 수변전 설비공사</t>
    <phoneticPr fontId="2" type="noConversion"/>
  </si>
  <si>
    <t xml:space="preserve">기타공사 </t>
    <phoneticPr fontId="2" type="noConversion"/>
  </si>
  <si>
    <t>CATV 및 TV 설비공사</t>
    <phoneticPr fontId="2" type="noConversion"/>
  </si>
  <si>
    <t>CCTV설비공사,주차관제설비공사,기타공사</t>
    <phoneticPr fontId="2" type="noConversion"/>
  </si>
  <si>
    <t>옥외소화배관공사,펌프실배관공사,기타공사</t>
    <phoneticPr fontId="2" type="noConversion"/>
  </si>
  <si>
    <t>우수공사,오수공사</t>
    <phoneticPr fontId="2" type="noConversion"/>
  </si>
  <si>
    <t>상수도공사,사급자재비,운반비,기타공사</t>
    <phoneticPr fontId="2" type="noConversion"/>
  </si>
  <si>
    <t>조경시설물</t>
    <phoneticPr fontId="2" type="noConversion"/>
  </si>
  <si>
    <t>포장공사,기타공사</t>
    <phoneticPr fontId="2" type="noConversion"/>
  </si>
  <si>
    <t>공조배관공사,우수처리시설공사,기타공사, 바닥난방공사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</si>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</sst>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267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6404</v>
      </c>
      <c r="D7" s="36">
        <f>+C7/3.3058</f>
        <v>1937.2012825942284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268</v>
      </c>
    </row>
    <row r="19" spans="1:5" x14ac:dyDescent="0.3">
      <c r="A19" s="2">
        <v>9</v>
      </c>
      <c r="B19" s="2" t="s">
        <v>269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1017120</v>
      </c>
      <c r="E25" s="59">
        <f t="shared" si="0"/>
        <v>3362390</v>
      </c>
    </row>
    <row r="26" spans="1:5" x14ac:dyDescent="0.3">
      <c r="B26" s="2">
        <v>3</v>
      </c>
      <c r="C26" s="35" t="s">
        <v>95</v>
      </c>
      <c r="D26" s="45">
        <f>+D66</f>
        <v>175520</v>
      </c>
      <c r="E26" s="59">
        <f t="shared" si="0"/>
        <v>580230</v>
      </c>
    </row>
    <row r="27" spans="1:5" x14ac:dyDescent="0.3">
      <c r="B27" s="2">
        <v>4</v>
      </c>
      <c r="C27" s="35" t="s">
        <v>96</v>
      </c>
      <c r="D27" s="45">
        <f>+D95</f>
        <v>110690</v>
      </c>
      <c r="E27" s="59">
        <f t="shared" si="0"/>
        <v>365910</v>
      </c>
    </row>
    <row r="28" spans="1:5" x14ac:dyDescent="0.3">
      <c r="B28" s="2">
        <v>5</v>
      </c>
      <c r="C28" s="35" t="s">
        <v>97</v>
      </c>
      <c r="D28" s="45">
        <f>+D119</f>
        <v>159890</v>
      </c>
      <c r="E28" s="59">
        <f t="shared" si="0"/>
        <v>528560</v>
      </c>
    </row>
    <row r="29" spans="1:5" x14ac:dyDescent="0.3">
      <c r="B29" s="2">
        <v>6</v>
      </c>
      <c r="C29" s="35" t="s">
        <v>98</v>
      </c>
      <c r="D29" s="45">
        <f>+D133</f>
        <v>159600</v>
      </c>
      <c r="E29" s="59">
        <f t="shared" si="0"/>
        <v>527600</v>
      </c>
    </row>
    <row r="30" spans="1:5" x14ac:dyDescent="0.3">
      <c r="B30" s="2">
        <v>7</v>
      </c>
      <c r="C30" s="35" t="s">
        <v>99</v>
      </c>
      <c r="D30" s="45">
        <f>+D146</f>
        <v>70720</v>
      </c>
      <c r="E30" s="59">
        <f t="shared" si="0"/>
        <v>233780</v>
      </c>
    </row>
    <row r="31" spans="1:5" x14ac:dyDescent="0.3">
      <c r="B31" s="2">
        <v>8</v>
      </c>
      <c r="C31" s="35" t="s">
        <v>100</v>
      </c>
      <c r="D31" s="45">
        <f>+D154</f>
        <v>16030</v>
      </c>
      <c r="E31" s="59">
        <f t="shared" si="0"/>
        <v>52990</v>
      </c>
    </row>
    <row r="32" spans="1:5" x14ac:dyDescent="0.3">
      <c r="B32" s="2">
        <v>9</v>
      </c>
      <c r="C32" s="35" t="s">
        <v>101</v>
      </c>
      <c r="D32" s="45">
        <f>+D161</f>
        <v>27020</v>
      </c>
      <c r="E32" s="59">
        <f t="shared" si="0"/>
        <v>89320</v>
      </c>
    </row>
    <row r="33" spans="1:7" x14ac:dyDescent="0.3">
      <c r="B33" s="2">
        <v>10</v>
      </c>
      <c r="C33" s="35" t="s">
        <v>154</v>
      </c>
      <c r="D33" s="53">
        <f>TRUNC(SUM(D24:D32)*0.275,-1)</f>
        <v>477560</v>
      </c>
      <c r="E33" s="60">
        <f t="shared" si="0"/>
        <v>1578710</v>
      </c>
    </row>
    <row r="34" spans="1:7" x14ac:dyDescent="0.3">
      <c r="C34" s="35" t="s">
        <v>112</v>
      </c>
      <c r="D34" s="44">
        <f>SUM(D24:D33)</f>
        <v>2214150</v>
      </c>
      <c r="E34" s="44">
        <f>SUM(E24:E33)</f>
        <v>7319490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265</v>
      </c>
      <c r="E39" s="67" t="s">
        <v>266</v>
      </c>
      <c r="G39" s="68"/>
    </row>
    <row r="40" spans="1:7" x14ac:dyDescent="0.3">
      <c r="A40" s="2">
        <v>1</v>
      </c>
      <c r="C40" s="38" t="s">
        <v>15</v>
      </c>
      <c r="D40" s="40">
        <f>TRUNC(70510,-1)</f>
        <v>70510</v>
      </c>
      <c r="E40" s="62">
        <f t="shared" ref="E40:E59" si="1">TRUNC(+D40*3.3058,-1)</f>
        <v>233090</v>
      </c>
    </row>
    <row r="41" spans="1:7" x14ac:dyDescent="0.3">
      <c r="A41" s="2">
        <v>2</v>
      </c>
      <c r="C41" s="38" t="s">
        <v>13</v>
      </c>
      <c r="D41" s="42">
        <f>TRUNC(127894,-1)</f>
        <v>127890</v>
      </c>
      <c r="E41" s="63">
        <f t="shared" si="1"/>
        <v>422770</v>
      </c>
    </row>
    <row r="42" spans="1:7" x14ac:dyDescent="0.3">
      <c r="A42" s="2">
        <v>3</v>
      </c>
      <c r="C42" s="38" t="s">
        <v>14</v>
      </c>
      <c r="D42" s="42">
        <f>TRUNC(352,-1)</f>
        <v>350</v>
      </c>
      <c r="E42" s="63">
        <f t="shared" si="1"/>
        <v>1150</v>
      </c>
    </row>
    <row r="43" spans="1:7" x14ac:dyDescent="0.3">
      <c r="A43" s="2">
        <v>4</v>
      </c>
      <c r="C43" s="38" t="s">
        <v>16</v>
      </c>
      <c r="D43" s="42">
        <f>TRUNC(34236,-1)</f>
        <v>34230</v>
      </c>
      <c r="E43" s="63">
        <f t="shared" si="1"/>
        <v>113150</v>
      </c>
    </row>
    <row r="44" spans="1:7" x14ac:dyDescent="0.3">
      <c r="A44" s="2">
        <v>5</v>
      </c>
      <c r="C44" s="38" t="s">
        <v>17</v>
      </c>
      <c r="D44" s="42">
        <f>TRUNC(35408,-1)</f>
        <v>35400</v>
      </c>
      <c r="E44" s="63">
        <f t="shared" si="1"/>
        <v>117020</v>
      </c>
    </row>
    <row r="45" spans="1:7" x14ac:dyDescent="0.3">
      <c r="A45" s="2">
        <v>6</v>
      </c>
      <c r="C45" s="38" t="s">
        <v>18</v>
      </c>
      <c r="D45" s="42">
        <f>TRUNC(8195,-1)</f>
        <v>8190</v>
      </c>
      <c r="E45" s="63">
        <f t="shared" si="1"/>
        <v>27070</v>
      </c>
    </row>
    <row r="46" spans="1:7" x14ac:dyDescent="0.3">
      <c r="A46" s="2">
        <v>7</v>
      </c>
      <c r="C46" s="38" t="s">
        <v>19</v>
      </c>
      <c r="D46" s="42">
        <f>TRUNC(43217,-1)</f>
        <v>43210</v>
      </c>
      <c r="E46" s="63">
        <f t="shared" si="1"/>
        <v>142840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TRUNC(35811,-1)</f>
        <v>35810</v>
      </c>
      <c r="E48" s="63">
        <f t="shared" si="1"/>
        <v>118380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TRUNC(37985,-1)</f>
        <v>37980</v>
      </c>
      <c r="E49" s="63">
        <f t="shared" si="1"/>
        <v>125550</v>
      </c>
    </row>
    <row r="50" spans="1:7" x14ac:dyDescent="0.3">
      <c r="A50" s="2">
        <v>11</v>
      </c>
      <c r="C50" s="38" t="s">
        <v>155</v>
      </c>
      <c r="D50" s="42">
        <f>TRUNC(49654,-1)</f>
        <v>49650</v>
      </c>
      <c r="E50" s="63">
        <f t="shared" si="1"/>
        <v>164130</v>
      </c>
      <c r="F50" s="2" t="s">
        <v>253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TRUNC(16929,-1)</f>
        <v>16920</v>
      </c>
      <c r="E52" s="63">
        <f t="shared" si="1"/>
        <v>55930</v>
      </c>
    </row>
    <row r="53" spans="1:7" x14ac:dyDescent="0.3">
      <c r="A53" s="2">
        <v>14</v>
      </c>
      <c r="C53" s="38" t="s">
        <v>25</v>
      </c>
      <c r="D53" s="42">
        <f>TRUNC(100755,-1)</f>
        <v>100750</v>
      </c>
      <c r="E53" s="63">
        <f t="shared" si="1"/>
        <v>333050</v>
      </c>
      <c r="F53" s="2" t="s">
        <v>254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TRUNC(564+21300+30+6568-716+19725,-1)</f>
        <v>47470</v>
      </c>
      <c r="E58" s="63">
        <f t="shared" si="1"/>
        <v>156920</v>
      </c>
      <c r="F58" s="2" t="s">
        <v>251</v>
      </c>
    </row>
    <row r="59" spans="1:7" ht="17.25" thickBot="1" x14ac:dyDescent="0.35">
      <c r="A59" s="2">
        <v>20</v>
      </c>
      <c r="C59" s="38" t="s">
        <v>148</v>
      </c>
      <c r="D59" s="43">
        <f>TRUNC(408764,-1)</f>
        <v>408760</v>
      </c>
      <c r="E59" s="64">
        <f t="shared" si="1"/>
        <v>1351270</v>
      </c>
    </row>
    <row r="60" spans="1:7" x14ac:dyDescent="0.3">
      <c r="A60" s="2">
        <v>21</v>
      </c>
      <c r="C60" s="27" t="s">
        <v>112</v>
      </c>
      <c r="D60" s="39">
        <f>SUM(D40:D59)</f>
        <v>1017120</v>
      </c>
      <c r="E60" s="39">
        <f>SUM(E40:E59)</f>
        <v>3362320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TRUNC(2899,-1)</f>
        <v>2890</v>
      </c>
      <c r="E63" s="62">
        <f>TRUNC(+D63*3.3058,-1)</f>
        <v>9550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TRUNC(172638,-1)</f>
        <v>172630</v>
      </c>
      <c r="E65" s="64">
        <f>TRUNC(+D65*3.3058,-1)</f>
        <v>570680</v>
      </c>
    </row>
    <row r="66" spans="1:7" x14ac:dyDescent="0.3">
      <c r="A66" s="2">
        <v>4</v>
      </c>
      <c r="C66" s="27" t="s">
        <v>112</v>
      </c>
      <c r="D66" s="39">
        <f>SUM(D63:D65)</f>
        <v>175520</v>
      </c>
      <c r="E66" s="65">
        <f>SUM(E63:E65)</f>
        <v>580230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TRUNC(14466,-1)</f>
        <v>14460</v>
      </c>
      <c r="E69" s="62">
        <f t="shared" ref="E69:E94" si="2">TRUNC(+D69*3.3058,-1)</f>
        <v>47800</v>
      </c>
    </row>
    <row r="70" spans="1:7" ht="16.5" customHeight="1" x14ac:dyDescent="0.3">
      <c r="A70" s="2">
        <v>2</v>
      </c>
      <c r="C70" s="38" t="s">
        <v>31</v>
      </c>
      <c r="D70" s="42">
        <f>TRUNC(212,-1)</f>
        <v>210</v>
      </c>
      <c r="E70" s="63">
        <f t="shared" si="2"/>
        <v>690</v>
      </c>
    </row>
    <row r="71" spans="1:7" x14ac:dyDescent="0.3">
      <c r="A71" s="2">
        <v>3</v>
      </c>
      <c r="C71" s="38" t="s">
        <v>32</v>
      </c>
      <c r="D71" s="42">
        <f>TRUNC(14506,-1)</f>
        <v>14500</v>
      </c>
      <c r="E71" s="63">
        <f t="shared" si="2"/>
        <v>47930</v>
      </c>
    </row>
    <row r="72" spans="1:7" x14ac:dyDescent="0.3">
      <c r="A72" s="2">
        <v>4</v>
      </c>
      <c r="C72" s="38" t="s">
        <v>33</v>
      </c>
      <c r="D72" s="42">
        <f>TRUNC(3817,-1)</f>
        <v>3810</v>
      </c>
      <c r="E72" s="63">
        <f t="shared" si="2"/>
        <v>12590</v>
      </c>
    </row>
    <row r="73" spans="1:7" x14ac:dyDescent="0.3">
      <c r="A73" s="2">
        <v>5</v>
      </c>
      <c r="C73" s="38" t="s">
        <v>34</v>
      </c>
      <c r="D73" s="42">
        <f>TRUNC(6795,-1)</f>
        <v>6790</v>
      </c>
      <c r="E73" s="63">
        <f t="shared" si="2"/>
        <v>22440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TRUNC(170,-1)</f>
        <v>170</v>
      </c>
      <c r="E75" s="63">
        <f t="shared" si="2"/>
        <v>560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TRUNC(4044,-1)</f>
        <v>4040</v>
      </c>
      <c r="E89" s="63">
        <f t="shared" si="2"/>
        <v>13350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TRUNC(8849,-1)</f>
        <v>8840</v>
      </c>
      <c r="E91" s="63">
        <f t="shared" si="2"/>
        <v>29220</v>
      </c>
    </row>
    <row r="92" spans="1:7" x14ac:dyDescent="0.3">
      <c r="A92" s="2">
        <v>24</v>
      </c>
      <c r="C92" s="38" t="s">
        <v>38</v>
      </c>
      <c r="D92" s="42">
        <f>TRUNC(3343,-1)</f>
        <v>3340</v>
      </c>
      <c r="E92" s="63">
        <f t="shared" si="2"/>
        <v>11040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TRUNC(29337+14229+10334+634,-1)</f>
        <v>54530</v>
      </c>
      <c r="E94" s="64">
        <f t="shared" si="2"/>
        <v>180260</v>
      </c>
      <c r="F94" s="2" t="s">
        <v>264</v>
      </c>
    </row>
    <row r="95" spans="1:7" x14ac:dyDescent="0.3">
      <c r="A95" s="2">
        <v>27</v>
      </c>
      <c r="C95" s="27" t="s">
        <v>112</v>
      </c>
      <c r="D95" s="39">
        <f>SUM(D69:D94)</f>
        <v>110690</v>
      </c>
      <c r="E95" s="39">
        <f>SUM(E69:E94)</f>
        <v>365880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TRUNC(20251,-1)</f>
        <v>20250</v>
      </c>
      <c r="E98" s="62">
        <f t="shared" ref="E98:E118" si="3">TRUNC(+D98*3.3058,-1)</f>
        <v>66940</v>
      </c>
    </row>
    <row r="99" spans="1:7" x14ac:dyDescent="0.3">
      <c r="A99" s="2">
        <v>2</v>
      </c>
      <c r="C99" s="38" t="s">
        <v>40</v>
      </c>
      <c r="D99" s="42">
        <f>TRUNC(9808,-1)</f>
        <v>9800</v>
      </c>
      <c r="E99" s="63">
        <f t="shared" si="3"/>
        <v>32390</v>
      </c>
    </row>
    <row r="100" spans="1:7" x14ac:dyDescent="0.3">
      <c r="A100" s="2">
        <v>3</v>
      </c>
      <c r="C100" s="38" t="s">
        <v>41</v>
      </c>
      <c r="D100" s="42">
        <f>TRUNC(38457,-1)</f>
        <v>38450</v>
      </c>
      <c r="E100" s="63">
        <f t="shared" si="3"/>
        <v>127100</v>
      </c>
    </row>
    <row r="101" spans="1:7" x14ac:dyDescent="0.3">
      <c r="A101" s="2">
        <v>4</v>
      </c>
      <c r="C101" s="38" t="s">
        <v>42</v>
      </c>
      <c r="D101" s="42">
        <f>TRUNC(1377,-1)</f>
        <v>1370</v>
      </c>
      <c r="E101" s="63">
        <f t="shared" si="3"/>
        <v>4520</v>
      </c>
    </row>
    <row r="102" spans="1:7" x14ac:dyDescent="0.3">
      <c r="A102" s="2">
        <v>5</v>
      </c>
      <c r="C102" s="38" t="s">
        <v>43</v>
      </c>
      <c r="D102" s="42">
        <f>TRUNC(15384,-1)</f>
        <v>15380</v>
      </c>
      <c r="E102" s="63">
        <f t="shared" si="3"/>
        <v>50840</v>
      </c>
    </row>
    <row r="103" spans="1:7" x14ac:dyDescent="0.3">
      <c r="A103" s="2">
        <v>6</v>
      </c>
      <c r="C103" s="38" t="s">
        <v>44</v>
      </c>
      <c r="D103" s="42">
        <f>TRUNC(7048,-1)</f>
        <v>7040</v>
      </c>
      <c r="E103" s="63">
        <f t="shared" si="3"/>
        <v>23270</v>
      </c>
    </row>
    <row r="104" spans="1:7" x14ac:dyDescent="0.3">
      <c r="A104" s="2">
        <v>7</v>
      </c>
      <c r="C104" s="38" t="s">
        <v>45</v>
      </c>
      <c r="D104" s="42">
        <f>TRUNC(5714,-1)</f>
        <v>5710</v>
      </c>
      <c r="E104" s="63">
        <f t="shared" si="3"/>
        <v>18870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TRUNC(3205,-1)</f>
        <v>3200</v>
      </c>
      <c r="E114" s="63">
        <f t="shared" si="3"/>
        <v>10570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TRUNC(1616,-1)</f>
        <v>1610</v>
      </c>
      <c r="E116" s="63">
        <f t="shared" si="3"/>
        <v>5320</v>
      </c>
      <c r="F116" s="2" t="s">
        <v>255</v>
      </c>
    </row>
    <row r="117" spans="1:7" x14ac:dyDescent="0.3">
      <c r="A117" s="2">
        <v>20</v>
      </c>
      <c r="C117" s="38" t="s">
        <v>148</v>
      </c>
      <c r="D117" s="42">
        <f>TRUNC(56641,-1)</f>
        <v>56640</v>
      </c>
      <c r="E117" s="63">
        <f t="shared" si="3"/>
        <v>187240</v>
      </c>
    </row>
    <row r="118" spans="1:7" ht="17.25" thickBot="1" x14ac:dyDescent="0.35">
      <c r="A118" s="2">
        <v>21</v>
      </c>
      <c r="C118" s="38" t="s">
        <v>47</v>
      </c>
      <c r="D118" s="43">
        <f>TRUNC(449,-1)</f>
        <v>440</v>
      </c>
      <c r="E118" s="64">
        <f t="shared" si="3"/>
        <v>1450</v>
      </c>
      <c r="F118" s="2" t="s">
        <v>256</v>
      </c>
    </row>
    <row r="119" spans="1:7" x14ac:dyDescent="0.3">
      <c r="A119" s="2">
        <v>22</v>
      </c>
      <c r="C119" s="27" t="s">
        <v>112</v>
      </c>
      <c r="D119" s="39">
        <f>SUM(D98:D118)</f>
        <v>159890</v>
      </c>
      <c r="E119" s="39">
        <f>SUM(E98:E118)</f>
        <v>528510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TRUNC(4308,-1)</f>
        <v>4300</v>
      </c>
      <c r="E122" s="62">
        <f t="shared" ref="E122:E132" si="4">TRUNC(+D122*3.3058,-1)</f>
        <v>14210</v>
      </c>
      <c r="F122" s="2" t="s">
        <v>257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TRUNC(2049,-1)</f>
        <v>2040</v>
      </c>
      <c r="E124" s="63">
        <f t="shared" si="4"/>
        <v>6740</v>
      </c>
    </row>
    <row r="125" spans="1:7" x14ac:dyDescent="0.3">
      <c r="A125" s="2">
        <v>4</v>
      </c>
      <c r="C125" s="38" t="s">
        <v>138</v>
      </c>
      <c r="D125" s="42">
        <f>TRUNC(6696,-1)</f>
        <v>6690</v>
      </c>
      <c r="E125" s="63">
        <f t="shared" si="4"/>
        <v>22110</v>
      </c>
    </row>
    <row r="126" spans="1:7" x14ac:dyDescent="0.3">
      <c r="A126" s="2">
        <v>5</v>
      </c>
      <c r="C126" s="38" t="s">
        <v>53</v>
      </c>
      <c r="D126" s="42">
        <f>TRUNC(720,-1)</f>
        <v>720</v>
      </c>
      <c r="E126" s="63">
        <f t="shared" si="4"/>
        <v>2380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TRUNC(47301,-1)</f>
        <v>47300</v>
      </c>
      <c r="E130" s="63">
        <f t="shared" si="4"/>
        <v>156360</v>
      </c>
    </row>
    <row r="131" spans="1:7" x14ac:dyDescent="0.3">
      <c r="A131" s="2">
        <v>10</v>
      </c>
      <c r="C131" s="38" t="s">
        <v>148</v>
      </c>
      <c r="D131" s="42">
        <f>TRUNC(89165,-1)</f>
        <v>89160</v>
      </c>
      <c r="E131" s="63">
        <f t="shared" si="4"/>
        <v>294740</v>
      </c>
    </row>
    <row r="132" spans="1:7" ht="18" thickBot="1" x14ac:dyDescent="0.35">
      <c r="A132" s="2">
        <v>11</v>
      </c>
      <c r="C132" s="38" t="s">
        <v>47</v>
      </c>
      <c r="D132" s="43">
        <f>TRUNC(8329+230+832,-1)</f>
        <v>9390</v>
      </c>
      <c r="E132" s="64">
        <f t="shared" si="4"/>
        <v>31040</v>
      </c>
      <c r="F132" s="54" t="s">
        <v>258</v>
      </c>
    </row>
    <row r="133" spans="1:7" x14ac:dyDescent="0.3">
      <c r="A133" s="2">
        <v>12</v>
      </c>
      <c r="C133" s="27" t="s">
        <v>112</v>
      </c>
      <c r="D133" s="39">
        <f>SUM(D122:D132)</f>
        <v>159600</v>
      </c>
      <c r="E133" s="39">
        <f>SUM(E122:E132)</f>
        <v>527580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TRUNC(372+3342+2028,-1)</f>
        <v>5740</v>
      </c>
      <c r="E137" s="63">
        <f t="shared" si="5"/>
        <v>18970</v>
      </c>
      <c r="F137" s="2" t="s">
        <v>259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TRUNC(2579,-1)</f>
        <v>2570</v>
      </c>
      <c r="E139" s="63">
        <f t="shared" si="5"/>
        <v>8490</v>
      </c>
    </row>
    <row r="140" spans="1:7" x14ac:dyDescent="0.3">
      <c r="A140" s="2">
        <v>5</v>
      </c>
      <c r="C140" s="38" t="s">
        <v>57</v>
      </c>
      <c r="D140" s="42">
        <f>TRUNC(2560,-1)</f>
        <v>2560</v>
      </c>
      <c r="E140" s="63">
        <f t="shared" si="5"/>
        <v>8460</v>
      </c>
    </row>
    <row r="141" spans="1:7" x14ac:dyDescent="0.3">
      <c r="A141" s="2">
        <v>6</v>
      </c>
      <c r="C141" s="38" t="s">
        <v>59</v>
      </c>
      <c r="D141" s="42">
        <f>TRUNC(29420,-1)</f>
        <v>29420</v>
      </c>
      <c r="E141" s="63">
        <f t="shared" si="5"/>
        <v>97250</v>
      </c>
    </row>
    <row r="142" spans="1:7" x14ac:dyDescent="0.3">
      <c r="A142" s="2">
        <v>7</v>
      </c>
      <c r="C142" s="38" t="s">
        <v>58</v>
      </c>
      <c r="D142" s="42">
        <f>TRUNC(3174,-1)</f>
        <v>3170</v>
      </c>
      <c r="E142" s="63">
        <f t="shared" si="5"/>
        <v>10470</v>
      </c>
    </row>
    <row r="143" spans="1:7" x14ac:dyDescent="0.3">
      <c r="A143" s="2">
        <v>8</v>
      </c>
      <c r="C143" s="38" t="s">
        <v>62</v>
      </c>
      <c r="D143" s="42">
        <f>TRUNC(5639,-1)</f>
        <v>5630</v>
      </c>
      <c r="E143" s="63">
        <f t="shared" si="5"/>
        <v>18610</v>
      </c>
    </row>
    <row r="144" spans="1:7" x14ac:dyDescent="0.3">
      <c r="A144" s="2">
        <v>9</v>
      </c>
      <c r="C144" s="38" t="s">
        <v>63</v>
      </c>
      <c r="D144" s="42">
        <f>TRUNC(18280,-1)</f>
        <v>18280</v>
      </c>
      <c r="E144" s="63">
        <f t="shared" si="5"/>
        <v>60430</v>
      </c>
    </row>
    <row r="145" spans="1:7" ht="17.25" thickBot="1" x14ac:dyDescent="0.35">
      <c r="A145" s="2">
        <v>10</v>
      </c>
      <c r="C145" s="38" t="s">
        <v>148</v>
      </c>
      <c r="D145" s="43">
        <f>TRUNC(3351,-1)</f>
        <v>3350</v>
      </c>
      <c r="E145" s="64">
        <f t="shared" si="5"/>
        <v>11070</v>
      </c>
    </row>
    <row r="146" spans="1:7" x14ac:dyDescent="0.3">
      <c r="A146" s="2">
        <v>11</v>
      </c>
      <c r="C146" s="27" t="s">
        <v>112</v>
      </c>
      <c r="D146" s="39">
        <f>SUM(D136:D145)</f>
        <v>70720</v>
      </c>
      <c r="E146" s="39">
        <f>SUM(E136:E145)</f>
        <v>233750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TRUNC(3425+295,-1)</f>
        <v>3720</v>
      </c>
      <c r="E149" s="62">
        <f>TRUNC(+D149*3.3058,-1)</f>
        <v>12290</v>
      </c>
      <c r="F149" s="2" t="s">
        <v>260</v>
      </c>
    </row>
    <row r="150" spans="1:7" x14ac:dyDescent="0.3">
      <c r="A150" s="2">
        <v>2</v>
      </c>
      <c r="C150" s="38" t="s">
        <v>49</v>
      </c>
      <c r="D150" s="42">
        <f>TRUNC(2492,-1)</f>
        <v>2490</v>
      </c>
      <c r="E150" s="63">
        <f>TRUNC(+D150*3.3058,-1)</f>
        <v>8230</v>
      </c>
    </row>
    <row r="151" spans="1:7" x14ac:dyDescent="0.3">
      <c r="A151" s="2">
        <v>3</v>
      </c>
      <c r="C151" s="38" t="s">
        <v>50</v>
      </c>
      <c r="D151" s="42">
        <f>TRUNC(2934,-1)</f>
        <v>2930</v>
      </c>
      <c r="E151" s="63">
        <f>TRUNC(+D151*3.3058,-1)</f>
        <v>9680</v>
      </c>
    </row>
    <row r="152" spans="1:7" x14ac:dyDescent="0.3">
      <c r="A152" s="2">
        <v>4</v>
      </c>
      <c r="C152" s="38" t="s">
        <v>47</v>
      </c>
      <c r="D152" s="42">
        <f>TRUNC(964+3310+5+2620,-1)</f>
        <v>6890</v>
      </c>
      <c r="E152" s="63">
        <f>TRUNC(+D152*3.3058,-1)</f>
        <v>22770</v>
      </c>
      <c r="F152" s="2" t="s">
        <v>261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16030</v>
      </c>
      <c r="E154" s="39">
        <f>SUM(E149:E153)</f>
        <v>52970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TRUNC(14431,-1)</f>
        <v>14430</v>
      </c>
      <c r="E157" s="62">
        <f>TRUNC(+D157*3.3058,-1)</f>
        <v>47700</v>
      </c>
    </row>
    <row r="158" spans="1:7" x14ac:dyDescent="0.3">
      <c r="A158" s="2">
        <v>2</v>
      </c>
      <c r="C158" s="38" t="s">
        <v>52</v>
      </c>
      <c r="D158" s="42">
        <f>TRUNC(10265,-1)</f>
        <v>10260</v>
      </c>
      <c r="E158" s="63">
        <f>TRUNC(+D158*3.3058,-1)</f>
        <v>33910</v>
      </c>
      <c r="F158" s="2" t="s">
        <v>262</v>
      </c>
    </row>
    <row r="159" spans="1:7" x14ac:dyDescent="0.3">
      <c r="A159" s="2">
        <v>3</v>
      </c>
      <c r="C159" s="38" t="s">
        <v>47</v>
      </c>
      <c r="D159" s="42">
        <f>TRUNC(1939+391,-1)</f>
        <v>2330</v>
      </c>
      <c r="E159" s="63">
        <f>TRUNC(+D159*3.3058,-1)</f>
        <v>7700</v>
      </c>
      <c r="F159" s="2" t="s">
        <v>263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27020</v>
      </c>
      <c r="E161" s="39">
        <f>SUM(E157:E160)</f>
        <v>89310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2020-12-08T02:22:50Z</dcterms:modified>
</cp:coreProperties>
</file>