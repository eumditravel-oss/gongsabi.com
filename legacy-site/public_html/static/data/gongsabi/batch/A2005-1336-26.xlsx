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9" i="4" l="1"/>
  <c r="D118" i="4"/>
  <c r="D58" i="4"/>
  <c r="D77" i="4"/>
  <c r="E160" i="4" l="1"/>
  <c r="E153" i="4"/>
  <c r="E149" i="4"/>
  <c r="E145" i="4"/>
  <c r="E144" i="4"/>
  <c r="E141" i="4"/>
  <c r="E139" i="4"/>
  <c r="E138" i="4"/>
  <c r="E136" i="4"/>
  <c r="E130" i="4"/>
  <c r="E129" i="4"/>
  <c r="E127" i="4"/>
  <c r="E124" i="4"/>
  <c r="E122" i="4"/>
  <c r="E118" i="4"/>
  <c r="E115" i="4"/>
  <c r="E114" i="4"/>
  <c r="E113" i="4"/>
  <c r="E112" i="4"/>
  <c r="E111" i="4"/>
  <c r="E110" i="4"/>
  <c r="E109" i="4"/>
  <c r="E107" i="4"/>
  <c r="E106" i="4"/>
  <c r="E103" i="4"/>
  <c r="E101" i="4"/>
  <c r="E99" i="4"/>
  <c r="E98" i="4"/>
  <c r="E92" i="4"/>
  <c r="E91" i="4"/>
  <c r="E88" i="4"/>
  <c r="E87" i="4"/>
  <c r="E86" i="4"/>
  <c r="E85" i="4"/>
  <c r="E83" i="4"/>
  <c r="E82" i="4"/>
  <c r="E81" i="4"/>
  <c r="E80" i="4"/>
  <c r="E78" i="4"/>
  <c r="E77" i="4"/>
  <c r="E76" i="4"/>
  <c r="E75" i="4"/>
  <c r="E74" i="4"/>
  <c r="E73" i="4"/>
  <c r="E70" i="4"/>
  <c r="E65" i="4"/>
  <c r="E64" i="4"/>
  <c r="E58" i="4"/>
  <c r="E57" i="4"/>
  <c r="E56" i="4"/>
  <c r="E54" i="4"/>
  <c r="D159" i="4" l="1"/>
  <c r="E159" i="4" s="1"/>
  <c r="D158" i="4"/>
  <c r="E158" i="4" s="1"/>
  <c r="D157" i="4"/>
  <c r="E157" i="4" s="1"/>
  <c r="E161" i="4" s="1"/>
  <c r="D152" i="4"/>
  <c r="E152" i="4" s="1"/>
  <c r="D151" i="4"/>
  <c r="E151" i="4" s="1"/>
  <c r="D150" i="4"/>
  <c r="E150" i="4" s="1"/>
  <c r="E154" i="4" s="1"/>
  <c r="D143" i="4"/>
  <c r="E143" i="4" s="1"/>
  <c r="D142" i="4"/>
  <c r="E142" i="4" s="1"/>
  <c r="D140" i="4"/>
  <c r="E140" i="4" s="1"/>
  <c r="D137" i="4"/>
  <c r="E137" i="4" s="1"/>
  <c r="E146" i="4" s="1"/>
  <c r="D146" i="4"/>
  <c r="D30" i="4" s="1"/>
  <c r="E30" i="4" s="1"/>
  <c r="D132" i="4"/>
  <c r="E132" i="4" s="1"/>
  <c r="D131" i="4"/>
  <c r="E131" i="4" s="1"/>
  <c r="D128" i="4"/>
  <c r="E128" i="4" s="1"/>
  <c r="D126" i="4"/>
  <c r="E126" i="4" s="1"/>
  <c r="D125" i="4"/>
  <c r="E125" i="4" s="1"/>
  <c r="D123" i="4"/>
  <c r="E123" i="4" s="1"/>
  <c r="D117" i="4"/>
  <c r="E117" i="4" s="1"/>
  <c r="D116" i="4"/>
  <c r="E116" i="4" s="1"/>
  <c r="D108" i="4"/>
  <c r="E108" i="4" s="1"/>
  <c r="D105" i="4"/>
  <c r="E105" i="4" s="1"/>
  <c r="D104" i="4"/>
  <c r="E104" i="4" s="1"/>
  <c r="D102" i="4"/>
  <c r="E102" i="4" s="1"/>
  <c r="D100" i="4"/>
  <c r="E100" i="4" s="1"/>
  <c r="E119" i="4" s="1"/>
  <c r="D94" i="4"/>
  <c r="E94" i="4" s="1"/>
  <c r="D93" i="4"/>
  <c r="E93" i="4" s="1"/>
  <c r="D90" i="4"/>
  <c r="E90" i="4" s="1"/>
  <c r="D89" i="4"/>
  <c r="E89" i="4" s="1"/>
  <c r="D84" i="4"/>
  <c r="E84" i="4" s="1"/>
  <c r="D79" i="4"/>
  <c r="E79" i="4" s="1"/>
  <c r="D72" i="4"/>
  <c r="E72" i="4" s="1"/>
  <c r="D71" i="4"/>
  <c r="E71" i="4" s="1"/>
  <c r="D69" i="4"/>
  <c r="E69" i="4" s="1"/>
  <c r="E95" i="4" s="1"/>
  <c r="D63" i="4"/>
  <c r="E63" i="4" s="1"/>
  <c r="E66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E60" i="4" s="1"/>
  <c r="D41" i="4"/>
  <c r="E41" i="4" s="1"/>
  <c r="D40" i="4"/>
  <c r="E40" i="4" s="1"/>
  <c r="D37" i="4"/>
  <c r="E3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33" i="4" l="1"/>
  <c r="D29" i="4" s="1"/>
  <c r="E29" i="4" s="1"/>
  <c r="D60" i="4"/>
  <c r="D25" i="4" s="1"/>
  <c r="E25" i="4" s="1"/>
  <c r="D95" i="4"/>
  <c r="D27" i="4" s="1"/>
  <c r="E133" i="4"/>
  <c r="D154" i="4"/>
  <c r="D31" i="4" s="1"/>
  <c r="E31" i="4" s="1"/>
  <c r="D24" i="4"/>
  <c r="E24" i="4" s="1"/>
  <c r="D66" i="4"/>
  <c r="D26" i="4" s="1"/>
  <c r="E26" i="4" s="1"/>
  <c r="D119" i="4"/>
  <c r="D28" i="4" s="1"/>
  <c r="E28" i="4" s="1"/>
  <c r="D161" i="4"/>
  <c r="D32" i="4" s="1"/>
  <c r="E32" i="4" s="1"/>
  <c r="E27" i="4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<sst xmlns="http://schemas.openxmlformats.org/spreadsheetml/2006/main" count="399" uniqueCount="271">
  <si>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</si>
  <si>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</si>
  <si>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</si>
  <si>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</si>
  <si>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</si>
  <si>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</si>
  <si>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</si>
  <si>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</si>
  <si>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</si>
  <si>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</si>
  <si>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</si>
  <si>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</si>
  <si>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</si>
  <si>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</si>
  <si>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</si>
  <si>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</si>
  <si>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</si>
  <si>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</si>
  <si>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</si>
  <si>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</si>
  <si>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</si>
  <si>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</si>
  <si>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</si>
  <si>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</si>
  <si>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</si>
  <si>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</si>
  <si>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</si>
  <si>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</si>
  <si>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</si>
  <si>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</si>
  <si>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</si>
  <si>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</si>
  <si>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</si>
  <si>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</si>
  <si>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</si>
  <si>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</si>
  <si>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</si>
  <si>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</si>
  <si>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</si>
  <si>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</si>
  <si>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</si>
  <si>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</si>
  <si>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</si>
  <si>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</si>
  <si>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</si>
  <si>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</si>
  <si>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</si>
  <si>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</si>
  <si>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</si>
  <si>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</si>
  <si>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</si>
  <si>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</si>
  <si>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</si>
  <si>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</si>
  <si>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</si>
  <si>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</si>
  <si>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</si>
  <si>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</si>
  <si>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</si>
  <si>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</si>
  <si>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</si>
  <si>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</si>
  <si>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</si>
  <si>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</si>
  <si>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</si>
  <si>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</si>
  <si>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</si>
  <si>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</si>
  <si>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</si>
  <si>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</si>
  <si>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</si>
  <si>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</si>
  <si>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</si>
  <si>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</si>
  <si>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</si>
  <si>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</si>
  <si>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</si>
  <si>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</si>
  <si>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</si>
  <si>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</si>
  <si>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</si>
  <si>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</si>
  <si>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</si>
  <si>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</si>
  <si>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</si>
  <si>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</si>
  <si>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</si>
  <si>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</si>
  <si>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</si>
  <si>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</si>
  <si>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</si>
  <si>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</si>
  <si>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</si>
  <si>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</si>
  <si>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</si>
  <si>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</si>
  <si>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</si>
  <si>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</si>
  <si>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</si>
  <si>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</si>
  <si>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</si>
  <si>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</si>
  <si>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</si>
  <si>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</si>
  <si>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</si>
  <si>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</si>
  <si>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</si>
  <si>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</si>
  <si>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</si>
  <si>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</si>
  <si>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</si>
  <si>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</si>
  <si>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</si>
  <si>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</si>
  <si>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</si>
  <si>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</si>
  <si>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</si>
  <si>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</si>
  <si>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</si>
  <si>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</si>
  <si>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</si>
  <si>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</si>
  <si>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</si>
  <si>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</si>
  <si>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</si>
  <si>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</si>
  <si>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</si>
  <si>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</si>
  <si>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</si>
  <si>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</si>
  <si>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</si>
  <si>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</si>
  <si>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</si>
  <si>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</si>
  <si>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</si>
  <si>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</si>
  <si>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</si>
  <si>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</si>
  <si>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</si>
  <si>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</si>
  <si>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</si>
  <si>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</si>
  <si>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</si>
  <si>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</si>
  <si>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</si>
  <si>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</si>
  <si>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</si>
  <si>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</si>
  <si>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</si>
  <si>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</si>
  <si>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</si>
  <si>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</si>
  <si>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</si>
  <si>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</si>
  <si>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</si>
  <si>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</si>
  <si>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</si>
  <si>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</si>
  <si>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</si>
  <si>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</si>
  <si>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</si>
  <si>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</si>
  <si>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</si>
  <si>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</si>
  <si>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</si>
  <si>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</si>
  <si>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</si>
  <si>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</si>
  <si>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</si>
  <si>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</si>
  <si>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</si>
  <si>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</si>
  <si>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</si>
  <si>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</si>
  <si>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</si>
  <si>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</si>
  <si>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</si>
  <si>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</si>
  <si>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</si>
  <si>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</si>
  <si>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</si>
  <si>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</si>
  <si>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</si>
  <si>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</si>
  <si>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</si>
  <si>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</si>
  <si>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</si>
  <si>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</si>
  <si>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</si>
  <si>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</si>
  <si>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</si>
  <si>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</si>
  <si>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</si>
  <si>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</si>
  <si>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</si>
  <si>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</si>
  <si>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</si>
  <si>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</si>
  <si>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</si>
  <si>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</si>
  <si>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</si>
  <si>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</si>
  <si>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</si>
  <si>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</si>
  <si>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</si>
  <si>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</si>
  <si>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</si>
  <si>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</si>
  <si>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</si>
  <si>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</si>
  <si>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</si>
  <si>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</si>
  <si>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</si>
  <si>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</si>
  <si>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</si>
  <si>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</si>
  <si>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</si>
  <si>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</si>
  <si>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</si>
  <si>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</si>
  <si>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</si>
  <si>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</si>
  <si>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</si>
  <si>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</si>
  <si>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</si>
  <si>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</si>
  <si>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</si>
  <si>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</si>
  <si>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</si>
  <si>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</si>
  <si>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</si>
  <si>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</si>
  <si>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</si>
  <si>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</si>
  <si>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</si>
  <si>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</si>
  <si>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</si>
  <si>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</si>
  <si>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</si>
  <si>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</si>
  <si>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</si>
  <si>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</si>
  <si>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</si>
  <si>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</si>
  <si>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</si>
  <si>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</si>
  <si>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도급자설치관급자재</t>
  </si>
  <si>
    <t>환기닥트설치공사, 열회수환기장치공사</t>
    <phoneticPr fontId="2" type="noConversion"/>
  </si>
  <si>
    <t>관급자설치관급자재</t>
  </si>
  <si>
    <t>위생배관공사</t>
  </si>
  <si>
    <t xml:space="preserve">22.9KV 인입 설비공사    </t>
    <phoneticPr fontId="2" type="noConversion"/>
  </si>
  <si>
    <t>CABLE TRAY(펀칭형) 설치공사</t>
  </si>
  <si>
    <t xml:space="preserve">옥외방송설비공사,구내통신선로설비공사,TV공시청 전송선로 설비공사,대회의실 방송 설비공사,가설공사  </t>
    <phoneticPr fontId="2" type="noConversion"/>
  </si>
  <si>
    <t>전기소방설비공사,펌프실 소화배관공사,연결살수 배관공사,가설공사</t>
    <phoneticPr fontId="2" type="noConversion"/>
  </si>
  <si>
    <t>토목 배수공, 주요자재대, 부대공</t>
    <phoneticPr fontId="2" type="noConversion"/>
  </si>
  <si>
    <t>포장공, 분수설비공</t>
    <phoneticPr fontId="2" type="noConversion"/>
  </si>
  <si>
    <t>평</t>
    <phoneticPr fontId="2" type="noConversion"/>
  </si>
  <si>
    <t>00지방노동청 청사 신축공사</t>
  </si>
  <si>
    <t>대구시</t>
  </si>
  <si>
    <t>원/ m2</t>
    <phoneticPr fontId="2" type="noConversion"/>
  </si>
  <si>
    <t>도급자, 관급자설치</t>
    <phoneticPr fontId="2" type="noConversion"/>
  </si>
  <si>
    <t>관급자설치</t>
    <phoneticPr fontId="2" type="noConversion"/>
  </si>
  <si>
    <t>원 /평</t>
    <phoneticPr fontId="2" type="noConversion"/>
  </si>
  <si>
    <t>기초 및 토공사, 골재비, 운반비, 승강기설치공사</t>
    <phoneticPr fontId="2" type="noConversion"/>
  </si>
  <si>
    <t>기계실동력 설비공사,주방동력</t>
    <phoneticPr fontId="2" type="noConversion"/>
  </si>
  <si>
    <t>외등설비공사,전기실간선및접지설비공사, 경관조명등 설비공사, 무대기계 설비공사, 가설공사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</si>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</sst>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0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155</v>
      </c>
      <c r="B2" s="76" t="s">
        <v>0</v>
      </c>
      <c r="C2" s="77"/>
      <c r="D2" s="76" t="s">
        <v>1</v>
      </c>
      <c r="E2" s="77"/>
      <c r="F2" s="76" t="s">
        <v>156</v>
      </c>
      <c r="G2" s="77"/>
      <c r="H2" s="76" t="s">
        <v>2</v>
      </c>
      <c r="I2" s="77"/>
      <c r="J2" s="76" t="s">
        <v>3</v>
      </c>
      <c r="K2" s="77"/>
      <c r="L2" s="76" t="s">
        <v>157</v>
      </c>
      <c r="M2" s="77"/>
      <c r="N2" s="76" t="s">
        <v>158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256</v>
      </c>
    </row>
    <row r="7" spans="1:4" ht="17.25" thickBot="1" x14ac:dyDescent="0.35">
      <c r="C7" s="37">
        <v>5622</v>
      </c>
      <c r="D7" s="36">
        <f>+C7/3.3058</f>
        <v>1700.647347086938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262</v>
      </c>
    </row>
    <row r="24" spans="1:5" x14ac:dyDescent="0.3">
      <c r="B24" s="2">
        <v>1</v>
      </c>
      <c r="C24" s="35" t="s">
        <v>110</v>
      </c>
      <c r="D24" s="41">
        <f>D37</f>
        <v>4950</v>
      </c>
      <c r="E24" s="60">
        <f t="shared" ref="E24:E33" si="0">TRUNC(+D24*3.3058,-1)</f>
        <v>16360</v>
      </c>
    </row>
    <row r="25" spans="1:5" x14ac:dyDescent="0.3">
      <c r="B25" s="2">
        <v>2</v>
      </c>
      <c r="C25" s="35" t="s">
        <v>111</v>
      </c>
      <c r="D25" s="45">
        <f>+D60</f>
        <v>553540</v>
      </c>
      <c r="E25" s="61">
        <f t="shared" si="0"/>
        <v>1829890</v>
      </c>
    </row>
    <row r="26" spans="1:5" x14ac:dyDescent="0.3">
      <c r="B26" s="2">
        <v>3</v>
      </c>
      <c r="C26" s="35" t="s">
        <v>95</v>
      </c>
      <c r="D26" s="57">
        <f>+D66</f>
        <v>34350</v>
      </c>
      <c r="E26" s="61">
        <f t="shared" si="0"/>
        <v>113550</v>
      </c>
    </row>
    <row r="27" spans="1:5" x14ac:dyDescent="0.3">
      <c r="B27" s="2">
        <v>4</v>
      </c>
      <c r="C27" s="35" t="s">
        <v>96</v>
      </c>
      <c r="D27" s="57">
        <f>+D95</f>
        <v>154090</v>
      </c>
      <c r="E27" s="61">
        <f t="shared" si="0"/>
        <v>509390</v>
      </c>
    </row>
    <row r="28" spans="1:5" x14ac:dyDescent="0.3">
      <c r="B28" s="2">
        <v>5</v>
      </c>
      <c r="C28" s="35" t="s">
        <v>97</v>
      </c>
      <c r="D28" s="57">
        <f>+D119</f>
        <v>81220</v>
      </c>
      <c r="E28" s="61">
        <f t="shared" si="0"/>
        <v>268490</v>
      </c>
    </row>
    <row r="29" spans="1:5" x14ac:dyDescent="0.3">
      <c r="B29" s="2">
        <v>6</v>
      </c>
      <c r="C29" s="35" t="s">
        <v>98</v>
      </c>
      <c r="D29" s="57">
        <f>+D133</f>
        <v>42630</v>
      </c>
      <c r="E29" s="61">
        <f t="shared" si="0"/>
        <v>140920</v>
      </c>
    </row>
    <row r="30" spans="1:5" x14ac:dyDescent="0.3">
      <c r="B30" s="2">
        <v>7</v>
      </c>
      <c r="C30" s="35" t="s">
        <v>99</v>
      </c>
      <c r="D30" s="57">
        <f>+D146</f>
        <v>14230</v>
      </c>
      <c r="E30" s="61">
        <f t="shared" si="0"/>
        <v>47040</v>
      </c>
    </row>
    <row r="31" spans="1:5" x14ac:dyDescent="0.3">
      <c r="B31" s="2">
        <v>8</v>
      </c>
      <c r="C31" s="35" t="s">
        <v>100</v>
      </c>
      <c r="D31" s="57">
        <f>+D154</f>
        <v>33720</v>
      </c>
      <c r="E31" s="61">
        <f t="shared" si="0"/>
        <v>111470</v>
      </c>
    </row>
    <row r="32" spans="1:5" x14ac:dyDescent="0.3">
      <c r="B32" s="2">
        <v>9</v>
      </c>
      <c r="C32" s="35" t="s">
        <v>101</v>
      </c>
      <c r="D32" s="57">
        <f>+D161</f>
        <v>55300</v>
      </c>
      <c r="E32" s="61">
        <f t="shared" si="0"/>
        <v>182810</v>
      </c>
    </row>
    <row r="33" spans="1:7" x14ac:dyDescent="0.3">
      <c r="B33" s="2">
        <v>10</v>
      </c>
      <c r="C33" s="35" t="s">
        <v>153</v>
      </c>
      <c r="D33" s="58">
        <f>TRUNC(SUM(D24:D32)*0.275,-1)</f>
        <v>267850</v>
      </c>
      <c r="E33" s="62">
        <f t="shared" si="0"/>
        <v>885450</v>
      </c>
    </row>
    <row r="34" spans="1:7" x14ac:dyDescent="0.3">
      <c r="C34" s="35" t="s">
        <v>112</v>
      </c>
      <c r="D34" s="44">
        <f>SUM(D24:D33)</f>
        <v>1241880</v>
      </c>
      <c r="E34" s="44">
        <f>SUM(E24:E33)</f>
        <v>4105370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235</v>
      </c>
      <c r="D36" s="55" t="s">
        <v>259</v>
      </c>
      <c r="E36" s="55" t="s">
        <v>262</v>
      </c>
      <c r="F36" s="53"/>
      <c r="G36" s="53"/>
    </row>
    <row r="37" spans="1:7" ht="17.25" thickBot="1" x14ac:dyDescent="0.35">
      <c r="C37" s="38" t="s">
        <v>143</v>
      </c>
      <c r="D37" s="52">
        <f>TRUNC(4958.68054073284,-1)</f>
        <v>4950</v>
      </c>
      <c r="E37" s="63">
        <f>TRUNC(+D37*3.3058,-1)</f>
        <v>16360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239</v>
      </c>
      <c r="D39" s="68" t="s">
        <v>266</v>
      </c>
      <c r="E39" s="68" t="s">
        <v>267</v>
      </c>
      <c r="G39" s="69"/>
    </row>
    <row r="40" spans="1:7" x14ac:dyDescent="0.3">
      <c r="A40" s="2">
        <v>1</v>
      </c>
      <c r="C40" s="38" t="s">
        <v>15</v>
      </c>
      <c r="D40" s="40">
        <f>TRUNC(35333.2328352899,-1)</f>
        <v>35330</v>
      </c>
      <c r="E40" s="64">
        <f t="shared" ref="E40:E59" si="1">TRUNC(+D40*3.3058,-1)</f>
        <v>116790</v>
      </c>
    </row>
    <row r="41" spans="1:7" x14ac:dyDescent="0.3">
      <c r="A41" s="2">
        <v>2</v>
      </c>
      <c r="C41" s="38" t="s">
        <v>13</v>
      </c>
      <c r="D41" s="42">
        <f>TRUNC(94821.3160796869,-1)</f>
        <v>94820</v>
      </c>
      <c r="E41" s="65">
        <f t="shared" si="1"/>
        <v>313450</v>
      </c>
    </row>
    <row r="42" spans="1:7" x14ac:dyDescent="0.3">
      <c r="A42" s="2">
        <v>3</v>
      </c>
      <c r="C42" s="38" t="s">
        <v>14</v>
      </c>
      <c r="D42" s="42">
        <f>TRUNC(10315.0795090715,-1)</f>
        <v>10310</v>
      </c>
      <c r="E42" s="65">
        <f t="shared" si="1"/>
        <v>34080</v>
      </c>
    </row>
    <row r="43" spans="1:7" x14ac:dyDescent="0.3">
      <c r="A43" s="2">
        <v>4</v>
      </c>
      <c r="C43" s="38" t="s">
        <v>16</v>
      </c>
      <c r="D43" s="42">
        <f>TRUNC(6118.90252579153,-1)</f>
        <v>6110</v>
      </c>
      <c r="E43" s="65">
        <f t="shared" si="1"/>
        <v>20190</v>
      </c>
    </row>
    <row r="44" spans="1:7" x14ac:dyDescent="0.3">
      <c r="A44" s="2">
        <v>5</v>
      </c>
      <c r="C44" s="38" t="s">
        <v>17</v>
      </c>
      <c r="D44" s="42">
        <f>TRUNC(9880.03112771256,-1)</f>
        <v>9880</v>
      </c>
      <c r="E44" s="65">
        <f t="shared" si="1"/>
        <v>32660</v>
      </c>
    </row>
    <row r="45" spans="1:7" x14ac:dyDescent="0.3">
      <c r="A45" s="2">
        <v>6</v>
      </c>
      <c r="C45" s="38" t="s">
        <v>18</v>
      </c>
      <c r="D45" s="42">
        <f>TRUNC(7143.95659907506,-1)</f>
        <v>7140</v>
      </c>
      <c r="E45" s="65">
        <f t="shared" si="1"/>
        <v>23600</v>
      </c>
    </row>
    <row r="46" spans="1:7" x14ac:dyDescent="0.3">
      <c r="A46" s="2">
        <v>7</v>
      </c>
      <c r="C46" s="38" t="s">
        <v>19</v>
      </c>
      <c r="D46" s="42">
        <f>TRUNC(20033.0665243686,-1)</f>
        <v>20030</v>
      </c>
      <c r="E46" s="65">
        <f t="shared" si="1"/>
        <v>66210</v>
      </c>
    </row>
    <row r="47" spans="1:7" x14ac:dyDescent="0.3">
      <c r="A47" s="2">
        <v>8</v>
      </c>
      <c r="C47" s="38" t="s">
        <v>20</v>
      </c>
      <c r="D47" s="42">
        <f>TRUNC(1449.94752757026,-1)</f>
        <v>1440</v>
      </c>
      <c r="E47" s="65">
        <f t="shared" si="1"/>
        <v>4760</v>
      </c>
    </row>
    <row r="48" spans="1:7" x14ac:dyDescent="0.3">
      <c r="A48" s="2">
        <v>9</v>
      </c>
      <c r="C48" s="38" t="s">
        <v>21</v>
      </c>
      <c r="D48" s="42">
        <f>TRUNC(102348.221095695,-1)</f>
        <v>102340</v>
      </c>
      <c r="E48" s="65">
        <f t="shared" si="1"/>
        <v>338310</v>
      </c>
    </row>
    <row r="49" spans="1:7" x14ac:dyDescent="0.3">
      <c r="A49" s="2">
        <v>10</v>
      </c>
      <c r="C49" s="38" t="s">
        <v>22</v>
      </c>
      <c r="D49" s="42">
        <f>TRUNC(11061.6583066524,-1)</f>
        <v>11060</v>
      </c>
      <c r="E49" s="65">
        <f t="shared" si="1"/>
        <v>36560</v>
      </c>
    </row>
    <row r="50" spans="1:7" x14ac:dyDescent="0.3">
      <c r="A50" s="2">
        <v>11</v>
      </c>
      <c r="C50" s="38" t="s">
        <v>154</v>
      </c>
      <c r="D50" s="42">
        <f>TRUNC(77668.2330131626,-1)</f>
        <v>77660</v>
      </c>
      <c r="E50" s="65">
        <f t="shared" si="1"/>
        <v>256720</v>
      </c>
    </row>
    <row r="51" spans="1:7" x14ac:dyDescent="0.3">
      <c r="A51" s="2">
        <v>12</v>
      </c>
      <c r="C51" s="38" t="s">
        <v>23</v>
      </c>
      <c r="D51" s="42">
        <f>TRUNC(12160.8219494842,-1)</f>
        <v>12160</v>
      </c>
      <c r="E51" s="65">
        <f t="shared" si="1"/>
        <v>40190</v>
      </c>
    </row>
    <row r="52" spans="1:7" x14ac:dyDescent="0.3">
      <c r="A52" s="2">
        <v>13</v>
      </c>
      <c r="C52" s="38" t="s">
        <v>24</v>
      </c>
      <c r="D52" s="42">
        <f>TRUNC(6158.66221985059,-1)</f>
        <v>6150</v>
      </c>
      <c r="E52" s="65">
        <f t="shared" si="1"/>
        <v>20330</v>
      </c>
    </row>
    <row r="53" spans="1:7" x14ac:dyDescent="0.3">
      <c r="A53" s="2">
        <v>14</v>
      </c>
      <c r="C53" s="38" t="s">
        <v>25</v>
      </c>
      <c r="D53" s="42">
        <f>TRUNC(60528.8082532905,-1)</f>
        <v>60520</v>
      </c>
      <c r="E53" s="65">
        <f t="shared" si="1"/>
        <v>200060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TRUNC(2814.32479544646,-1)</f>
        <v>2810</v>
      </c>
      <c r="E55" s="65">
        <f t="shared" si="1"/>
        <v>9280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TRUNC(2837.37940234792+1445.57097118463+1018.9308075418+4838.1358946994,-1)</f>
        <v>10140</v>
      </c>
      <c r="E58" s="65">
        <f t="shared" si="1"/>
        <v>33520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TRUNC(85643.1874777659,-1)</f>
        <v>85640</v>
      </c>
      <c r="E59" s="66">
        <f t="shared" si="1"/>
        <v>283100</v>
      </c>
      <c r="F59" s="2" t="s">
        <v>246</v>
      </c>
    </row>
    <row r="60" spans="1:7" x14ac:dyDescent="0.3">
      <c r="A60" s="2">
        <v>21</v>
      </c>
      <c r="C60" s="27" t="s">
        <v>112</v>
      </c>
      <c r="D60" s="39">
        <f>SUM(D40:D59)</f>
        <v>553540</v>
      </c>
      <c r="E60" s="39">
        <f>SUM(E40:E59)</f>
        <v>1829810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236</v>
      </c>
      <c r="C62" s="54" t="s">
        <v>237</v>
      </c>
      <c r="D62" s="55" t="s">
        <v>234</v>
      </c>
      <c r="E62" s="55" t="s">
        <v>262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TRUNC(34357.6302027748,-1)</f>
        <v>34350</v>
      </c>
      <c r="E63" s="64">
        <f>TRUNC(+D63*3.3058,-1)</f>
        <v>113550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9">
        <f>SUM(D63:D65)</f>
        <v>34350</v>
      </c>
      <c r="E66" s="59">
        <f>SUM(E63:E65)</f>
        <v>113550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238</v>
      </c>
      <c r="C68" s="54" t="s">
        <v>239</v>
      </c>
      <c r="D68" s="55" t="s">
        <v>234</v>
      </c>
      <c r="E68" s="55" t="s">
        <v>262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TRUNC(9787.97580932053,-1)</f>
        <v>9780</v>
      </c>
      <c r="E69" s="64">
        <f>TRUNC(+D69*3.3058,-1)</f>
        <v>32330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5">
        <f>TRUNC(+D70*3.3058,-1)</f>
        <v>0</v>
      </c>
    </row>
    <row r="71" spans="1:7" x14ac:dyDescent="0.3">
      <c r="A71" s="2">
        <v>3</v>
      </c>
      <c r="C71" s="38" t="s">
        <v>32</v>
      </c>
      <c r="D71" s="42">
        <f>TRUNC(4564.03415154749,-1)</f>
        <v>4560</v>
      </c>
      <c r="E71" s="65">
        <f t="shared" ref="E71:E73" si="2">TRUNC(+D71*3.3058,-1)</f>
        <v>15070</v>
      </c>
    </row>
    <row r="72" spans="1:7" x14ac:dyDescent="0.3">
      <c r="A72" s="2">
        <v>4</v>
      </c>
      <c r="C72" s="38" t="s">
        <v>33</v>
      </c>
      <c r="D72" s="42">
        <f>TRUNC(3344.53930985414,-1)</f>
        <v>3340</v>
      </c>
      <c r="E72" s="65">
        <f t="shared" si="2"/>
        <v>11040</v>
      </c>
    </row>
    <row r="73" spans="1:7" x14ac:dyDescent="0.3">
      <c r="A73" s="2">
        <v>5</v>
      </c>
      <c r="C73" s="38" t="s">
        <v>34</v>
      </c>
      <c r="D73" s="42">
        <v>0</v>
      </c>
      <c r="E73" s="65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5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f>TRUNC(0,-1)</f>
        <v>0</v>
      </c>
      <c r="E77" s="65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TRUNC(8015.29704731412+2734.61401636428,-1)</f>
        <v>10740</v>
      </c>
      <c r="E79" s="65">
        <f t="shared" si="3"/>
        <v>35500</v>
      </c>
      <c r="F79" s="2" t="s">
        <v>247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TRUNC(80.042689434365,-1)</f>
        <v>80</v>
      </c>
      <c r="E84" s="65">
        <f>TRUNC(+D84*3.3058,-1)</f>
        <v>260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3"/>
        <v>0</v>
      </c>
    </row>
    <row r="89" spans="1:7" x14ac:dyDescent="0.3">
      <c r="A89" s="2">
        <v>21</v>
      </c>
      <c r="C89" s="38" t="s">
        <v>35</v>
      </c>
      <c r="D89" s="42">
        <f>TRUNC(13505.1583066524,-1)</f>
        <v>13500</v>
      </c>
      <c r="E89" s="65">
        <f t="shared" si="3"/>
        <v>44620</v>
      </c>
    </row>
    <row r="90" spans="1:7" x14ac:dyDescent="0.3">
      <c r="A90" s="2">
        <v>22</v>
      </c>
      <c r="C90" s="38" t="s">
        <v>36</v>
      </c>
      <c r="D90" s="42">
        <f>TRUNC(1289.57666310921,-1)</f>
        <v>1280</v>
      </c>
      <c r="E90" s="65">
        <f>TRUNC(+D90*3.3058,-1)</f>
        <v>4230</v>
      </c>
    </row>
    <row r="91" spans="1:7" x14ac:dyDescent="0.3">
      <c r="A91" s="2">
        <v>23</v>
      </c>
      <c r="C91" s="38" t="s">
        <v>37</v>
      </c>
      <c r="D91" s="42">
        <v>0</v>
      </c>
      <c r="E91" s="65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5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TRUNC(102762.895766631,-1)</f>
        <v>102760</v>
      </c>
      <c r="E93" s="65">
        <f>TRUNC(+D93*3.3058,-1)</f>
        <v>339700</v>
      </c>
      <c r="F93" s="2" t="s">
        <v>248</v>
      </c>
    </row>
    <row r="94" spans="1:7" ht="17.25" thickBot="1" x14ac:dyDescent="0.35">
      <c r="A94" s="2">
        <v>26</v>
      </c>
      <c r="C94" s="38" t="s">
        <v>47</v>
      </c>
      <c r="D94" s="43">
        <f>TRUNC(8055.31839203131,-1)</f>
        <v>8050</v>
      </c>
      <c r="E94" s="66">
        <f>TRUNC(+D94*3.3058,-1)</f>
        <v>26610</v>
      </c>
      <c r="F94" s="2" t="s">
        <v>249</v>
      </c>
    </row>
    <row r="95" spans="1:7" x14ac:dyDescent="0.3">
      <c r="A95" s="2">
        <v>27</v>
      </c>
      <c r="C95" s="27" t="s">
        <v>112</v>
      </c>
      <c r="D95" s="39">
        <f>SUM(D69:D94)</f>
        <v>154090</v>
      </c>
      <c r="E95" s="39">
        <f>SUM(E69:E94)</f>
        <v>509360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240</v>
      </c>
      <c r="C97" s="54" t="s">
        <v>239</v>
      </c>
      <c r="D97" s="55" t="s">
        <v>234</v>
      </c>
      <c r="E97" s="55" t="s">
        <v>262</v>
      </c>
      <c r="F97" s="53"/>
      <c r="G97" s="53"/>
    </row>
    <row r="98" spans="1:7" x14ac:dyDescent="0.3">
      <c r="A98" s="2">
        <v>1</v>
      </c>
      <c r="C98" s="38" t="s">
        <v>39</v>
      </c>
      <c r="D98" s="40">
        <v>0</v>
      </c>
      <c r="E98" s="64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f>TRUNC(141.872465314835+
7808.18107435076,-1)</f>
        <v>7950</v>
      </c>
      <c r="E99" s="65">
        <f t="shared" si="4"/>
        <v>26280</v>
      </c>
      <c r="F99" s="2" t="s">
        <v>264</v>
      </c>
    </row>
    <row r="100" spans="1:7" x14ac:dyDescent="0.3">
      <c r="A100" s="2">
        <v>3</v>
      </c>
      <c r="C100" s="38" t="s">
        <v>41</v>
      </c>
      <c r="D100" s="42">
        <f>TRUNC(15867.2324795446,-1)</f>
        <v>15860</v>
      </c>
      <c r="E100" s="65">
        <f t="shared" si="4"/>
        <v>52420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TRUNC(8365.37513340448,-1)</f>
        <v>8360</v>
      </c>
      <c r="E102" s="65">
        <f t="shared" si="4"/>
        <v>27630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TRUNC(649.747065101387,-1)</f>
        <v>640</v>
      </c>
      <c r="E104" s="65">
        <f t="shared" si="4"/>
        <v>2110</v>
      </c>
    </row>
    <row r="105" spans="1:7" x14ac:dyDescent="0.3">
      <c r="A105" s="2">
        <v>8</v>
      </c>
      <c r="C105" s="38" t="s">
        <v>46</v>
      </c>
      <c r="D105" s="42">
        <f>TRUNC(1072.46638207044,-1)</f>
        <v>1070</v>
      </c>
      <c r="E105" s="65">
        <f t="shared" si="4"/>
        <v>3530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TRUNC(2191.78477410174,-1)</f>
        <v>2190</v>
      </c>
      <c r="E108" s="65">
        <f t="shared" si="4"/>
        <v>7230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5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5">
        <f t="shared" si="4"/>
        <v>0</v>
      </c>
    </row>
    <row r="116" spans="1:7" x14ac:dyDescent="0.3">
      <c r="A116" s="2">
        <v>19</v>
      </c>
      <c r="C116" s="38" t="s">
        <v>115</v>
      </c>
      <c r="D116" s="42">
        <f>TRUNC(1260.45997865528,-1)</f>
        <v>1260</v>
      </c>
      <c r="E116" s="65">
        <f t="shared" si="4"/>
        <v>4160</v>
      </c>
      <c r="F116" s="2" t="s">
        <v>250</v>
      </c>
    </row>
    <row r="117" spans="1:7" x14ac:dyDescent="0.3">
      <c r="A117" s="2">
        <v>20</v>
      </c>
      <c r="C117" s="38" t="s">
        <v>148</v>
      </c>
      <c r="D117" s="42">
        <f>TRUNC(17237.6378512985+17098.7193169691,-1)</f>
        <v>34330</v>
      </c>
      <c r="E117" s="65">
        <f t="shared" si="4"/>
        <v>113480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f>TRUNC(4481.25542511562+2133.13820704376+117.452508004269+2757.18641053006+73.9263607257204,-1)</f>
        <v>9560</v>
      </c>
      <c r="E118" s="66">
        <f t="shared" si="4"/>
        <v>31600</v>
      </c>
      <c r="F118" s="2" t="s">
        <v>265</v>
      </c>
    </row>
    <row r="119" spans="1:7" x14ac:dyDescent="0.3">
      <c r="A119" s="2">
        <v>22</v>
      </c>
      <c r="C119" s="27" t="s">
        <v>112</v>
      </c>
      <c r="D119" s="39">
        <f>SUM(D98:D118)</f>
        <v>81220</v>
      </c>
      <c r="E119" s="39">
        <f>SUM(E98:E118)</f>
        <v>268440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241</v>
      </c>
      <c r="C121" s="54" t="s">
        <v>239</v>
      </c>
      <c r="D121" s="55" t="s">
        <v>234</v>
      </c>
      <c r="E121" s="55" t="s">
        <v>262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v>0</v>
      </c>
      <c r="E122" s="64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TRUNC(4474.92991817858,-1)</f>
        <v>4470</v>
      </c>
      <c r="E123" s="65">
        <f t="shared" si="5"/>
        <v>14770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TRUNC(2880.73194592672,-1)</f>
        <v>2880</v>
      </c>
      <c r="E125" s="65">
        <f t="shared" si="5"/>
        <v>9520</v>
      </c>
    </row>
    <row r="126" spans="1:7" x14ac:dyDescent="0.3">
      <c r="A126" s="2">
        <v>5</v>
      </c>
      <c r="C126" s="38" t="s">
        <v>53</v>
      </c>
      <c r="D126" s="42">
        <f>TRUNC(1136.06776947705,-1)</f>
        <v>1130</v>
      </c>
      <c r="E126" s="65">
        <f t="shared" si="5"/>
        <v>3730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TRUNC(3157.90643898968,-1)</f>
        <v>3150</v>
      </c>
      <c r="E128" s="65">
        <f t="shared" si="5"/>
        <v>10410</v>
      </c>
      <c r="F128" s="2" t="s">
        <v>251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5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TRUNC(17762.3621487015,-1)</f>
        <v>17760</v>
      </c>
      <c r="E131" s="65">
        <f t="shared" si="5"/>
        <v>58710</v>
      </c>
      <c r="F131" s="2" t="s">
        <v>261</v>
      </c>
    </row>
    <row r="132" spans="1:7" ht="17.25" thickBot="1" x14ac:dyDescent="0.35">
      <c r="A132" s="2">
        <v>11</v>
      </c>
      <c r="C132" s="38" t="s">
        <v>47</v>
      </c>
      <c r="D132" s="43">
        <f>TRUNC(337.349697616507+10789.755247243+1575.07221629313+472.574528637496+73.9263607257204,-1)</f>
        <v>13240</v>
      </c>
      <c r="E132" s="66">
        <f t="shared" si="5"/>
        <v>43760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42630</v>
      </c>
      <c r="E133" s="39">
        <f>SUM(E122:E132)</f>
        <v>140900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242</v>
      </c>
      <c r="C135" s="54" t="s">
        <v>239</v>
      </c>
      <c r="D135" s="55" t="s">
        <v>234</v>
      </c>
      <c r="E135" s="55" t="s">
        <v>262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v>0</v>
      </c>
      <c r="E136" s="64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TRUNC(5416.21611526147+723.193703308431+2260.46406972608+73.9263607257204,-1)</f>
        <v>8470</v>
      </c>
      <c r="E137" s="65">
        <f t="shared" si="6"/>
        <v>28000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TRUNC(607.153859836357,-1)</f>
        <v>600</v>
      </c>
      <c r="E140" s="65">
        <f t="shared" si="6"/>
        <v>1980</v>
      </c>
      <c r="F140" s="2" t="s">
        <v>172</v>
      </c>
    </row>
    <row r="141" spans="1:7" x14ac:dyDescent="0.3">
      <c r="A141" s="2">
        <v>6</v>
      </c>
      <c r="C141" s="38" t="s">
        <v>59</v>
      </c>
      <c r="D141" s="42">
        <v>0</v>
      </c>
      <c r="E141" s="65">
        <f t="shared" si="6"/>
        <v>0</v>
      </c>
    </row>
    <row r="142" spans="1:7" x14ac:dyDescent="0.3">
      <c r="A142" s="2">
        <v>7</v>
      </c>
      <c r="C142" s="38" t="s">
        <v>58</v>
      </c>
      <c r="D142" s="42">
        <f>TRUNC(3079.68196371398,-1)</f>
        <v>3070</v>
      </c>
      <c r="E142" s="65">
        <f t="shared" si="6"/>
        <v>10140</v>
      </c>
      <c r="F142" s="2" t="s">
        <v>172</v>
      </c>
    </row>
    <row r="143" spans="1:7" x14ac:dyDescent="0.3">
      <c r="A143" s="2">
        <v>8</v>
      </c>
      <c r="C143" s="38" t="s">
        <v>62</v>
      </c>
      <c r="D143" s="42">
        <f>TRUNC(2093.85005336179,-1)</f>
        <v>2090</v>
      </c>
      <c r="E143" s="65">
        <f t="shared" si="6"/>
        <v>6900</v>
      </c>
      <c r="F143" s="2" t="s">
        <v>172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/>
      <c r="E145" s="66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14230</v>
      </c>
      <c r="E146" s="39">
        <f>SUM(E136:E145)</f>
        <v>47020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243</v>
      </c>
      <c r="C148" s="54" t="s">
        <v>239</v>
      </c>
      <c r="D148" s="55" t="s">
        <v>234</v>
      </c>
      <c r="E148" s="55" t="s">
        <v>262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v>0</v>
      </c>
      <c r="E149" s="64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TRUNC(10333.5030238349,-1)</f>
        <v>10330</v>
      </c>
      <c r="E150" s="65">
        <f>TRUNC(+D150*3.3058,-1)</f>
        <v>34140</v>
      </c>
    </row>
    <row r="151" spans="1:7" x14ac:dyDescent="0.3">
      <c r="A151" s="2">
        <v>3</v>
      </c>
      <c r="C151" s="38" t="s">
        <v>50</v>
      </c>
      <c r="D151" s="42">
        <f>TRUNC(6650.57808609036,-1)</f>
        <v>6650</v>
      </c>
      <c r="E151" s="65">
        <f>TRUNC(+D151*3.3058,-1)</f>
        <v>21980</v>
      </c>
    </row>
    <row r="152" spans="1:7" x14ac:dyDescent="0.3">
      <c r="A152" s="2">
        <v>4</v>
      </c>
      <c r="C152" s="38" t="s">
        <v>47</v>
      </c>
      <c r="D152" s="42">
        <f>TRUNC(4497.54091070793+11727.2383493419+524.893098541444,-1)</f>
        <v>16740</v>
      </c>
      <c r="E152" s="65">
        <f>TRUNC(+D152*3.3058,-1)</f>
        <v>55330</v>
      </c>
      <c r="F152" s="56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6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33720</v>
      </c>
      <c r="E154" s="39">
        <f>SUM(E149:E153)</f>
        <v>111450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244</v>
      </c>
      <c r="C156" s="54" t="s">
        <v>239</v>
      </c>
      <c r="D156" s="55" t="s">
        <v>234</v>
      </c>
      <c r="E156" s="55" t="s">
        <v>262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f>TRUNC(27440.5138740662,-1)</f>
        <v>27440</v>
      </c>
      <c r="E157" s="64">
        <f>TRUNC(+D157*3.3058,-1)</f>
        <v>90710</v>
      </c>
    </row>
    <row r="158" spans="1:7" x14ac:dyDescent="0.3">
      <c r="A158" s="2">
        <v>2</v>
      </c>
      <c r="C158" s="38" t="s">
        <v>52</v>
      </c>
      <c r="D158" s="42">
        <f>TRUNC(10502.9066168623,-1)</f>
        <v>10500</v>
      </c>
      <c r="E158" s="65">
        <f>TRUNC(+D158*3.3058,-1)</f>
        <v>34710</v>
      </c>
    </row>
    <row r="159" spans="1:7" x14ac:dyDescent="0.3">
      <c r="A159" s="2">
        <v>3</v>
      </c>
      <c r="C159" s="38" t="s">
        <v>47</v>
      </c>
      <c r="D159" s="42">
        <f>TRUNC(10917.5818214159+6446.18801138385,-1)</f>
        <v>17360</v>
      </c>
      <c r="E159" s="65">
        <f>TRUNC(+D159*3.3058,-1)</f>
        <v>57380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55300</v>
      </c>
      <c r="E161" s="39">
        <f>SUM(E157:E160)</f>
        <v>182800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2020-12-07T09:02:19Z</dcterms:modified>
</cp:coreProperties>
</file>