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8" i="4" l="1"/>
  <c r="D132" i="4"/>
  <c r="D127" i="4"/>
  <c r="D124" i="4"/>
  <c r="D125" i="4"/>
  <c r="D122" i="4"/>
  <c r="D130" i="4"/>
  <c r="D118" i="4"/>
  <c r="D105" i="4"/>
  <c r="D114" i="4"/>
  <c r="D102" i="4"/>
  <c r="D100" i="4"/>
  <c r="D99" i="4"/>
  <c r="D98" i="4"/>
  <c r="D104" i="4"/>
  <c r="D101" i="4"/>
  <c r="D115" i="4"/>
  <c r="D94" i="4"/>
  <c r="D76" i="4"/>
  <c r="D69" i="4"/>
  <c r="D81" i="4"/>
  <c r="D70" i="4"/>
  <c r="D90" i="4"/>
  <c r="D75" i="4"/>
  <c r="D84" i="4"/>
  <c r="D71" i="4"/>
  <c r="D78" i="4"/>
  <c r="D72" i="4"/>
  <c r="D58" i="4"/>
  <c r="D42" i="4"/>
  <c r="D54" i="4"/>
  <c r="D45" i="4"/>
  <c r="D41" i="4"/>
  <c r="D50" i="4"/>
  <c r="D55" i="4"/>
  <c r="D43" i="4"/>
  <c r="D51" i="4"/>
  <c r="D46" i="4"/>
  <c r="D44" i="4"/>
  <c r="D49" i="4"/>
  <c r="D47" i="4"/>
  <c r="D52" i="4"/>
  <c r="D48" i="4"/>
  <c r="D40" i="4"/>
  <c r="D137" i="4"/>
  <c r="D136" i="4"/>
  <c r="D159" i="4"/>
  <c r="D15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19" i="4"/>
  <c r="E95" i="4"/>
  <c r="E60" i="4"/>
  <c r="E146" i="4"/>
  <c r="E154" i="4"/>
  <c r="D161" i="4"/>
  <c r="D154" i="4"/>
  <c r="D31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29" i="4"/>
  <c r="E29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<sst xmlns="http://schemas.openxmlformats.org/spreadsheetml/2006/main" count="389" uniqueCount="264">
  <si>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</si>
  <si>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</si>
  <si>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</si>
  <si>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</si>
  <si>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</si>
  <si>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</si>
  <si>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</si>
  <si>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</si>
  <si>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</si>
  <si>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</si>
  <si>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</si>
  <si>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</si>
  <si>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</si>
  <si>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</si>
  <si>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</si>
  <si>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</si>
  <si>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</si>
  <si>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</si>
  <si>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</si>
  <si>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</si>
  <si>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</si>
  <si>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</si>
  <si>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</si>
  <si>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</si>
  <si>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</si>
  <si>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</si>
  <si>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</si>
  <si>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</si>
  <si>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</si>
  <si>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</si>
  <si>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</si>
  <si>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</si>
  <si>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</si>
  <si>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</si>
  <si>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</si>
  <si>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</si>
  <si>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</si>
  <si>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</si>
  <si>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</si>
  <si>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</si>
  <si>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</si>
  <si>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</si>
  <si>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</si>
  <si>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</si>
  <si>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</si>
  <si>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</si>
  <si>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</si>
  <si>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</si>
  <si>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</si>
  <si>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</si>
  <si>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</si>
  <si>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</si>
  <si>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</si>
  <si>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</si>
  <si>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</si>
  <si>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</si>
  <si>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</si>
  <si>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</si>
  <si>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</si>
  <si>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</si>
  <si>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</si>
  <si>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</si>
  <si>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</si>
  <si>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</si>
  <si>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</si>
  <si>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</si>
  <si>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</si>
  <si>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</si>
  <si>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</si>
  <si>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</si>
  <si>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</si>
  <si>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</si>
  <si>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</si>
  <si>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</si>
  <si>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</si>
  <si>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</si>
  <si>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</si>
  <si>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</si>
  <si>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</si>
  <si>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</si>
  <si>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</si>
  <si>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</si>
  <si>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</si>
  <si>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</si>
  <si>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</si>
  <si>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</si>
  <si>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</si>
  <si>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</si>
  <si>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</si>
  <si>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</si>
  <si>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</si>
  <si>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</si>
  <si>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</si>
  <si>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</si>
  <si>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</si>
  <si>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</si>
  <si>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</si>
  <si>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</si>
  <si>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</si>
  <si>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</si>
  <si>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</si>
  <si>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</si>
  <si>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</si>
  <si>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</si>
  <si>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</si>
  <si>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</si>
  <si>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</si>
  <si>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</si>
  <si>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</si>
  <si>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</si>
  <si>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</si>
  <si>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</si>
  <si>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</si>
  <si>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</si>
  <si>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</si>
  <si>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</si>
  <si>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</si>
  <si>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</si>
  <si>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</si>
  <si>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</si>
  <si>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</si>
  <si>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</si>
  <si>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</si>
  <si>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</si>
  <si>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</si>
  <si>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</si>
  <si>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</si>
  <si>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</si>
  <si>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</si>
  <si>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</si>
  <si>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</si>
  <si>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</si>
  <si>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</si>
  <si>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</si>
  <si>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</si>
  <si>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</si>
  <si>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</si>
  <si>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</si>
  <si>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</si>
  <si>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</si>
  <si>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</si>
  <si>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</si>
  <si>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</si>
  <si>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</si>
  <si>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</si>
  <si>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</si>
  <si>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</si>
  <si>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</si>
  <si>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</si>
  <si>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</si>
  <si>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</si>
  <si>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</si>
  <si>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</si>
  <si>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</si>
  <si>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</si>
  <si>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</si>
  <si>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</si>
  <si>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</si>
  <si>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</si>
  <si>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</si>
  <si>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</si>
  <si>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</si>
  <si>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</si>
  <si>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</si>
  <si>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</si>
  <si>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</si>
  <si>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</si>
  <si>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</si>
  <si>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</si>
  <si>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</si>
  <si>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</si>
  <si>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</si>
  <si>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</si>
  <si>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</si>
  <si>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</si>
  <si>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</si>
  <si>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</si>
  <si>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</si>
  <si>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</si>
  <si>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</si>
  <si>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</si>
  <si>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</si>
  <si>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</si>
  <si>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</si>
  <si>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</si>
  <si>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</si>
  <si>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</si>
  <si>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</si>
  <si>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</si>
  <si>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</si>
  <si>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</si>
  <si>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</si>
  <si>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</si>
  <si>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</si>
  <si>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</si>
  <si>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</si>
  <si>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</si>
  <si>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</si>
  <si>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</si>
  <si>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</si>
  <si>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</si>
  <si>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</si>
  <si>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</si>
  <si>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</si>
  <si>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</si>
  <si>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</si>
  <si>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</si>
  <si>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</si>
  <si>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</si>
  <si>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</si>
  <si>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</si>
  <si>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</si>
  <si>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</si>
  <si>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</si>
  <si>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</si>
  <si>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</si>
  <si>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</si>
  <si>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</si>
  <si>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</si>
  <si>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</si>
  <si>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</si>
  <si>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</si>
  <si>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</si>
  <si>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</si>
  <si>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</si>
  <si>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</si>
  <si>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</si>
  <si>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</si>
  <si>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</si>
  <si>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</si>
  <si>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</si>
  <si>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</si>
  <si>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</si>
  <si>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</si>
  <si>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</si>
  <si>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</si>
  <si>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</si>
  <si>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</si>
  <si>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</si>
  <si>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</si>
  <si>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</si>
  <si>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</si>
  <si>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</si>
  <si>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</si>
  <si>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</si>
  <si>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</si>
  <si>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</si>
  <si>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</si>
  <si>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0000복지타운 건설공사</t>
    <phoneticPr fontId="2" type="noConversion"/>
  </si>
  <si>
    <t>기타</t>
  </si>
  <si>
    <t>인천시</t>
  </si>
  <si>
    <t>부대토목공사(흙막이공사 포함)</t>
    <phoneticPr fontId="2" type="noConversion"/>
  </si>
  <si>
    <t>부대조경공사</t>
    <phoneticPr fontId="2" type="noConversion"/>
  </si>
  <si>
    <t>기계 소화설비공사</t>
    <phoneticPr fontId="2" type="noConversion"/>
  </si>
  <si>
    <t>전기 소방공사</t>
    <phoneticPr fontId="2" type="noConversion"/>
  </si>
  <si>
    <t>철거공사,골재비및운반비,부대공사,작업부산물,토및지정공사</t>
    <phoneticPr fontId="2" type="noConversion"/>
  </si>
  <si>
    <t>공조배관공사,난방배관공사,위생배관공사,전열교환기설치공사,주방시스템천정공사</t>
    <phoneticPr fontId="2" type="noConversion"/>
  </si>
  <si>
    <t>SNOW MELTING설비공사,무대설비공사,태양광발전설비공사,가로등이설설비공사,주방동력설비공사</t>
    <phoneticPr fontId="2" type="noConversion"/>
  </si>
  <si>
    <t>CCTV설비공사,비상호출설비공사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</si>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</sst>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12464</v>
      </c>
      <c r="D7" s="36">
        <f>+C7/3.3058</f>
        <v>3770.3430334563495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724300</v>
      </c>
      <c r="E25" s="59">
        <f t="shared" si="0"/>
        <v>2394390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254420</v>
      </c>
      <c r="E27" s="59">
        <f t="shared" si="0"/>
        <v>841060</v>
      </c>
    </row>
    <row r="28" spans="1:5" x14ac:dyDescent="0.3">
      <c r="B28" s="2">
        <v>5</v>
      </c>
      <c r="C28" s="35" t="s">
        <v>97</v>
      </c>
      <c r="D28" s="45">
        <f>+D119</f>
        <v>136100</v>
      </c>
      <c r="E28" s="59">
        <f t="shared" si="0"/>
        <v>449910</v>
      </c>
    </row>
    <row r="29" spans="1:5" x14ac:dyDescent="0.3">
      <c r="B29" s="2">
        <v>6</v>
      </c>
      <c r="C29" s="35" t="s">
        <v>98</v>
      </c>
      <c r="D29" s="45">
        <f>+D133</f>
        <v>56220</v>
      </c>
      <c r="E29" s="59">
        <f t="shared" si="0"/>
        <v>185850</v>
      </c>
    </row>
    <row r="30" spans="1:5" x14ac:dyDescent="0.3">
      <c r="B30" s="2">
        <v>7</v>
      </c>
      <c r="C30" s="35" t="s">
        <v>99</v>
      </c>
      <c r="D30" s="45">
        <f>+D146</f>
        <v>53790</v>
      </c>
      <c r="E30" s="59">
        <f t="shared" si="0"/>
        <v>177810</v>
      </c>
    </row>
    <row r="31" spans="1:5" x14ac:dyDescent="0.3">
      <c r="B31" s="2">
        <v>8</v>
      </c>
      <c r="C31" s="35" t="s">
        <v>100</v>
      </c>
      <c r="D31" s="45">
        <f>+D154</f>
        <v>237920</v>
      </c>
      <c r="E31" s="59">
        <f t="shared" si="0"/>
        <v>786510</v>
      </c>
    </row>
    <row r="32" spans="1:5" x14ac:dyDescent="0.3">
      <c r="B32" s="2">
        <v>9</v>
      </c>
      <c r="C32" s="35" t="s">
        <v>101</v>
      </c>
      <c r="D32" s="45">
        <f>+D161</f>
        <v>71640</v>
      </c>
      <c r="E32" s="59">
        <f t="shared" si="0"/>
        <v>236820</v>
      </c>
    </row>
    <row r="33" spans="1:7" x14ac:dyDescent="0.3">
      <c r="B33" s="2">
        <v>10</v>
      </c>
      <c r="C33" s="35" t="s">
        <v>154</v>
      </c>
      <c r="D33" s="53">
        <f>TRUNC(SUM(D24:D32)*0.275,-1)</f>
        <v>421950</v>
      </c>
      <c r="E33" s="60">
        <f t="shared" si="0"/>
        <v>1394880</v>
      </c>
    </row>
    <row r="34" spans="1:7" x14ac:dyDescent="0.3">
      <c r="C34" s="35" t="s">
        <v>112</v>
      </c>
      <c r="D34" s="44">
        <f>SUM(D24:D33)</f>
        <v>1956340</v>
      </c>
      <c r="E34" s="44">
        <f>SUM(E24:E33)</f>
        <v>6467230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TRUNC(33468,-1)</f>
        <v>33460</v>
      </c>
      <c r="E40" s="62">
        <f t="shared" ref="E40:E59" si="1">TRUNC(+D40*3.3058,-1)</f>
        <v>110610</v>
      </c>
    </row>
    <row r="41" spans="1:7" x14ac:dyDescent="0.3">
      <c r="A41" s="2">
        <v>2</v>
      </c>
      <c r="C41" s="38" t="s">
        <v>13</v>
      </c>
      <c r="D41" s="42">
        <f>TRUNC(244576,-1)</f>
        <v>244570</v>
      </c>
      <c r="E41" s="63">
        <f t="shared" si="1"/>
        <v>808490</v>
      </c>
    </row>
    <row r="42" spans="1:7" x14ac:dyDescent="0.3">
      <c r="A42" s="2">
        <v>3</v>
      </c>
      <c r="C42" s="38" t="s">
        <v>14</v>
      </c>
      <c r="D42" s="42">
        <f>TRUNC(106,-1)</f>
        <v>100</v>
      </c>
      <c r="E42" s="63">
        <f t="shared" si="1"/>
        <v>330</v>
      </c>
    </row>
    <row r="43" spans="1:7" x14ac:dyDescent="0.3">
      <c r="A43" s="2">
        <v>4</v>
      </c>
      <c r="C43" s="38" t="s">
        <v>16</v>
      </c>
      <c r="D43" s="42">
        <f>TRUNC(18346,-1)</f>
        <v>18340</v>
      </c>
      <c r="E43" s="63">
        <f t="shared" si="1"/>
        <v>60620</v>
      </c>
    </row>
    <row r="44" spans="1:7" x14ac:dyDescent="0.3">
      <c r="A44" s="2">
        <v>5</v>
      </c>
      <c r="C44" s="38" t="s">
        <v>17</v>
      </c>
      <c r="D44" s="42">
        <f>TRUNC(31233,-1)</f>
        <v>31230</v>
      </c>
      <c r="E44" s="63">
        <f t="shared" si="1"/>
        <v>103240</v>
      </c>
    </row>
    <row r="45" spans="1:7" x14ac:dyDescent="0.3">
      <c r="A45" s="2">
        <v>6</v>
      </c>
      <c r="C45" s="38" t="s">
        <v>18</v>
      </c>
      <c r="D45" s="42">
        <f>TRUNC(5215,-1)</f>
        <v>5210</v>
      </c>
      <c r="E45" s="63">
        <f t="shared" si="1"/>
        <v>17220</v>
      </c>
    </row>
    <row r="46" spans="1:7" x14ac:dyDescent="0.3">
      <c r="A46" s="2">
        <v>7</v>
      </c>
      <c r="C46" s="38" t="s">
        <v>19</v>
      </c>
      <c r="D46" s="42">
        <f>TRUNC(17292,-1)</f>
        <v>17290</v>
      </c>
      <c r="E46" s="63">
        <f t="shared" si="1"/>
        <v>57150</v>
      </c>
    </row>
    <row r="47" spans="1:7" x14ac:dyDescent="0.3">
      <c r="A47" s="2">
        <v>8</v>
      </c>
      <c r="C47" s="38" t="s">
        <v>20</v>
      </c>
      <c r="D47" s="42">
        <f>TRUNC(1689,-1)</f>
        <v>1680</v>
      </c>
      <c r="E47" s="63">
        <f t="shared" si="1"/>
        <v>5550</v>
      </c>
    </row>
    <row r="48" spans="1:7" x14ac:dyDescent="0.3">
      <c r="A48" s="2">
        <v>9</v>
      </c>
      <c r="C48" s="38" t="s">
        <v>21</v>
      </c>
      <c r="D48" s="42">
        <f>TRUNC(65280,-1)</f>
        <v>65280</v>
      </c>
      <c r="E48" s="63">
        <f t="shared" si="1"/>
        <v>215800</v>
      </c>
    </row>
    <row r="49" spans="1:7" x14ac:dyDescent="0.3">
      <c r="A49" s="2">
        <v>10</v>
      </c>
      <c r="C49" s="38" t="s">
        <v>22</v>
      </c>
      <c r="D49" s="42">
        <f>TRUNC(61826,-1)</f>
        <v>61820</v>
      </c>
      <c r="E49" s="63">
        <f t="shared" si="1"/>
        <v>204360</v>
      </c>
    </row>
    <row r="50" spans="1:7" x14ac:dyDescent="0.3">
      <c r="A50" s="2">
        <v>11</v>
      </c>
      <c r="C50" s="38" t="s">
        <v>155</v>
      </c>
      <c r="D50" s="42">
        <f>TRUNC(70129,-1)</f>
        <v>70120</v>
      </c>
      <c r="E50" s="63">
        <f t="shared" si="1"/>
        <v>231800</v>
      </c>
    </row>
    <row r="51" spans="1:7" x14ac:dyDescent="0.3">
      <c r="A51" s="2">
        <v>12</v>
      </c>
      <c r="C51" s="38" t="s">
        <v>23</v>
      </c>
      <c r="D51" s="42">
        <f>TRUNC(13170,-1)</f>
        <v>13170</v>
      </c>
      <c r="E51" s="63">
        <f t="shared" si="1"/>
        <v>43530</v>
      </c>
    </row>
    <row r="52" spans="1:7" x14ac:dyDescent="0.3">
      <c r="A52" s="2">
        <v>13</v>
      </c>
      <c r="C52" s="38" t="s">
        <v>24</v>
      </c>
      <c r="D52" s="42">
        <f>TRUNC(16192,-1)</f>
        <v>16190</v>
      </c>
      <c r="E52" s="63">
        <f t="shared" si="1"/>
        <v>53520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f>TRUNC(106210,-1)</f>
        <v>106210</v>
      </c>
      <c r="E54" s="63">
        <f t="shared" si="1"/>
        <v>351100</v>
      </c>
    </row>
    <row r="55" spans="1:7" x14ac:dyDescent="0.3">
      <c r="A55" s="2">
        <v>16</v>
      </c>
      <c r="C55" s="38" t="s">
        <v>144</v>
      </c>
      <c r="D55" s="42">
        <f>TRUNC(395,-1)</f>
        <v>390</v>
      </c>
      <c r="E55" s="63">
        <f t="shared" si="1"/>
        <v>1280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TRUNC(484+4315+34918-763+288,-1)</f>
        <v>39240</v>
      </c>
      <c r="E58" s="63">
        <f t="shared" si="1"/>
        <v>129710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724300</v>
      </c>
      <c r="E60" s="39">
        <f>SUM(E40:E59)</f>
        <v>2394310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TRUNC(56527,-1)</f>
        <v>56520</v>
      </c>
      <c r="E69" s="62">
        <f t="shared" ref="E69:E94" si="2">TRUNC(+D69*3.3058,-1)</f>
        <v>186840</v>
      </c>
    </row>
    <row r="70" spans="1:7" ht="16.5" customHeight="1" x14ac:dyDescent="0.3">
      <c r="A70" s="2">
        <v>2</v>
      </c>
      <c r="C70" s="38" t="s">
        <v>31</v>
      </c>
      <c r="D70" s="42">
        <f>TRUNC(579,-1)</f>
        <v>570</v>
      </c>
      <c r="E70" s="63">
        <f t="shared" si="2"/>
        <v>1880</v>
      </c>
    </row>
    <row r="71" spans="1:7" x14ac:dyDescent="0.3">
      <c r="A71" s="2">
        <v>3</v>
      </c>
      <c r="C71" s="38" t="s">
        <v>32</v>
      </c>
      <c r="D71" s="42">
        <f>TRUNC(20700,-1)</f>
        <v>20700</v>
      </c>
      <c r="E71" s="63">
        <f t="shared" si="2"/>
        <v>68430</v>
      </c>
    </row>
    <row r="72" spans="1:7" x14ac:dyDescent="0.3">
      <c r="A72" s="2">
        <v>4</v>
      </c>
      <c r="C72" s="38" t="s">
        <v>33</v>
      </c>
      <c r="D72" s="42">
        <f>TRUNC(6112,-1)</f>
        <v>6110</v>
      </c>
      <c r="E72" s="63">
        <f t="shared" si="2"/>
        <v>20190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TRUNC(883,-1)</f>
        <v>880</v>
      </c>
      <c r="E75" s="63">
        <f t="shared" si="2"/>
        <v>2900</v>
      </c>
    </row>
    <row r="76" spans="1:7" x14ac:dyDescent="0.3">
      <c r="A76" s="2">
        <v>8</v>
      </c>
      <c r="C76" s="38" t="s">
        <v>119</v>
      </c>
      <c r="D76" s="42">
        <f>TRUNC(15767,-1)</f>
        <v>15760</v>
      </c>
      <c r="E76" s="63">
        <f t="shared" si="2"/>
        <v>52090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TRUNC(17645,-1)</f>
        <v>17640</v>
      </c>
      <c r="E78" s="63">
        <f t="shared" si="2"/>
        <v>58310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TRUNC(20224,-1)</f>
        <v>20220</v>
      </c>
      <c r="E81" s="63">
        <f t="shared" si="2"/>
        <v>66840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TRUNC(7089,-1)</f>
        <v>7080</v>
      </c>
      <c r="E84" s="63">
        <f t="shared" si="2"/>
        <v>23400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TRUNC(2966,-1)</f>
        <v>2960</v>
      </c>
      <c r="E90" s="63">
        <f t="shared" si="2"/>
        <v>9780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TRUNC(37014+2098+33440+23761+9676,-1)</f>
        <v>105980</v>
      </c>
      <c r="E94" s="64">
        <f t="shared" si="2"/>
        <v>350340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254420</v>
      </c>
      <c r="E95" s="39">
        <f>SUM(E69:E94)</f>
        <v>841000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TRUNC(13529+5237,-1)</f>
        <v>18760</v>
      </c>
      <c r="E98" s="62">
        <f t="shared" ref="E98:E118" si="3">TRUNC(+D98*3.3058,-1)</f>
        <v>62010</v>
      </c>
    </row>
    <row r="99" spans="1:7" x14ac:dyDescent="0.3">
      <c r="A99" s="2">
        <v>2</v>
      </c>
      <c r="C99" s="38" t="s">
        <v>40</v>
      </c>
      <c r="D99" s="42">
        <f>TRUNC(9037+979,-1)</f>
        <v>10010</v>
      </c>
      <c r="E99" s="63">
        <f t="shared" si="3"/>
        <v>33090</v>
      </c>
    </row>
    <row r="100" spans="1:7" x14ac:dyDescent="0.3">
      <c r="A100" s="2">
        <v>3</v>
      </c>
      <c r="C100" s="38" t="s">
        <v>41</v>
      </c>
      <c r="D100" s="42">
        <f>TRUNC(32310+4300,-1)</f>
        <v>36610</v>
      </c>
      <c r="E100" s="63">
        <f t="shared" si="3"/>
        <v>121020</v>
      </c>
    </row>
    <row r="101" spans="1:7" x14ac:dyDescent="0.3">
      <c r="A101" s="2">
        <v>4</v>
      </c>
      <c r="C101" s="38" t="s">
        <v>42</v>
      </c>
      <c r="D101" s="42">
        <f>TRUNC(11679,-1)</f>
        <v>11670</v>
      </c>
      <c r="E101" s="63">
        <f t="shared" si="3"/>
        <v>38570</v>
      </c>
    </row>
    <row r="102" spans="1:7" x14ac:dyDescent="0.3">
      <c r="A102" s="2">
        <v>5</v>
      </c>
      <c r="C102" s="38" t="s">
        <v>43</v>
      </c>
      <c r="D102" s="42">
        <f>TRUNC(8551+969,-1)</f>
        <v>9520</v>
      </c>
      <c r="E102" s="63">
        <f t="shared" si="3"/>
        <v>31470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TRUNC(3682,-1)</f>
        <v>3680</v>
      </c>
      <c r="E104" s="63">
        <f t="shared" si="3"/>
        <v>12160</v>
      </c>
    </row>
    <row r="105" spans="1:7" x14ac:dyDescent="0.3">
      <c r="A105" s="2">
        <v>8</v>
      </c>
      <c r="C105" s="38" t="s">
        <v>46</v>
      </c>
      <c r="D105" s="42">
        <f>TRUNC(2428+188,-1)</f>
        <v>2610</v>
      </c>
      <c r="E105" s="63">
        <f t="shared" si="3"/>
        <v>8620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TRUNC(4134+1592,-1)</f>
        <v>5720</v>
      </c>
      <c r="E114" s="63">
        <f t="shared" si="3"/>
        <v>18900</v>
      </c>
    </row>
    <row r="115" spans="1:7" x14ac:dyDescent="0.3">
      <c r="A115" s="2">
        <v>18</v>
      </c>
      <c r="C115" s="38" t="s">
        <v>116</v>
      </c>
      <c r="D115" s="42">
        <f>TRUNC(22710,-1)</f>
        <v>22710</v>
      </c>
      <c r="E115" s="63">
        <f t="shared" si="3"/>
        <v>75070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TRUNC(1325+1102+11047+1232+111,-1)</f>
        <v>14810</v>
      </c>
      <c r="E118" s="64">
        <f t="shared" si="3"/>
        <v>48950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136100</v>
      </c>
      <c r="E119" s="39">
        <f>SUM(E98:E118)</f>
        <v>449860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TRUNC(6762,-1)</f>
        <v>6760</v>
      </c>
      <c r="E122" s="62">
        <f t="shared" ref="E122:E132" si="4">TRUNC(+D122*3.3058,-1)</f>
        <v>22340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TRUNC(3633,-1)</f>
        <v>3630</v>
      </c>
      <c r="E124" s="63">
        <f t="shared" si="4"/>
        <v>12000</v>
      </c>
    </row>
    <row r="125" spans="1:7" x14ac:dyDescent="0.3">
      <c r="A125" s="2">
        <v>4</v>
      </c>
      <c r="C125" s="38" t="s">
        <v>138</v>
      </c>
      <c r="D125" s="42">
        <f>TRUNC(5821,-1)</f>
        <v>5820</v>
      </c>
      <c r="E125" s="63">
        <f t="shared" si="4"/>
        <v>19230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TRUNC(11935,-1)</f>
        <v>11930</v>
      </c>
      <c r="E127" s="63">
        <f t="shared" si="4"/>
        <v>39430</v>
      </c>
    </row>
    <row r="128" spans="1:7" x14ac:dyDescent="0.3">
      <c r="A128" s="2">
        <v>7</v>
      </c>
      <c r="C128" s="38" t="s">
        <v>46</v>
      </c>
      <c r="D128" s="42">
        <f>TRUNC(4467,-1)</f>
        <v>4460</v>
      </c>
      <c r="E128" s="63">
        <f t="shared" si="4"/>
        <v>14740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TRUNC(10724,-1)</f>
        <v>10720</v>
      </c>
      <c r="E130" s="63">
        <f t="shared" si="4"/>
        <v>35430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TRUNC(8012+4890,-1)</f>
        <v>12900</v>
      </c>
      <c r="E132" s="64">
        <f t="shared" si="4"/>
        <v>42640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56220</v>
      </c>
      <c r="E133" s="39">
        <f>SUM(E122:E132)</f>
        <v>185810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TRUNC(37962,-1)</f>
        <v>37960</v>
      </c>
      <c r="E136" s="62">
        <f t="shared" ref="E136:E145" si="5">TRUNC(+D136*3.3058,-1)</f>
        <v>125480</v>
      </c>
      <c r="F136" s="2" t="s">
        <v>253</v>
      </c>
    </row>
    <row r="137" spans="1:7" x14ac:dyDescent="0.3">
      <c r="A137" s="2">
        <v>2</v>
      </c>
      <c r="C137" s="38" t="s">
        <v>47</v>
      </c>
      <c r="D137" s="42">
        <f>TRUNC(15834,-1)</f>
        <v>15830</v>
      </c>
      <c r="E137" s="63">
        <f t="shared" si="5"/>
        <v>52330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53790</v>
      </c>
      <c r="E146" s="39">
        <f>SUM(E136:E145)</f>
        <v>177810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TRUNC(237921,-1)</f>
        <v>237920</v>
      </c>
      <c r="E152" s="63">
        <f>TRUNC(+D152*3.3058,-1)</f>
        <v>786510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237920</v>
      </c>
      <c r="E154" s="39">
        <f>SUM(E149:E153)</f>
        <v>786510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TRUNC(71649,-1)</f>
        <v>71640</v>
      </c>
      <c r="E159" s="63">
        <f>TRUNC(+D159*3.3058,-1)</f>
        <v>236820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71640</v>
      </c>
      <c r="E161" s="39">
        <f>SUM(E157:E160)</f>
        <v>236820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2020-12-07T09:48:18Z</dcterms:modified>
</cp:coreProperties>
</file>