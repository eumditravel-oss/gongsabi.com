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4" i="4"/>
  <c r="D143" i="4"/>
  <c r="D142" i="4"/>
  <c r="D140" i="4"/>
  <c r="D137" i="4"/>
  <c r="D132" i="4"/>
  <c r="D131" i="4"/>
  <c r="D130" i="4"/>
  <c r="D126" i="4"/>
  <c r="D125" i="4"/>
  <c r="D124" i="4"/>
  <c r="D122" i="4"/>
  <c r="D118" i="4"/>
  <c r="D117" i="4"/>
  <c r="D116" i="4"/>
  <c r="D105" i="4"/>
  <c r="D103" i="4"/>
  <c r="D102" i="4"/>
  <c r="D101" i="4"/>
  <c r="D100" i="4"/>
  <c r="D99" i="4"/>
  <c r="D98" i="4"/>
  <c r="D94" i="4"/>
  <c r="D93" i="4"/>
  <c r="D92" i="4"/>
  <c r="D91" i="4"/>
  <c r="D89" i="4"/>
  <c r="D73" i="4"/>
  <c r="D72" i="4"/>
  <c r="D71" i="4"/>
  <c r="D69" i="4"/>
  <c r="D63" i="4"/>
  <c r="D59" i="4"/>
  <c r="D58" i="4"/>
  <c r="D53" i="4"/>
  <c r="D52" i="4"/>
  <c r="D49" i="4"/>
  <c r="D48" i="4"/>
  <c r="D46" i="4"/>
  <c r="D45" i="4"/>
  <c r="D43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<sst xmlns="http://schemas.openxmlformats.org/spreadsheetml/2006/main" count="397" uniqueCount="268">
  <si>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</si>
  <si>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</si>
  <si>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</si>
  <si>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</si>
  <si>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</si>
  <si>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</si>
  <si>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</si>
  <si>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</si>
  <si>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</si>
  <si>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</si>
  <si>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</si>
  <si>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</si>
  <si>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</si>
  <si>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</si>
  <si>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</si>
  <si>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</si>
  <si>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</si>
  <si>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</si>
  <si>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</si>
  <si>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</si>
  <si>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</si>
  <si>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</si>
  <si>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</si>
  <si>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</si>
  <si>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</si>
  <si>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</si>
  <si>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</si>
  <si>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</si>
  <si>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</si>
  <si>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</si>
  <si>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</si>
  <si>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</si>
  <si>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</si>
  <si>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</si>
  <si>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</si>
  <si>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</si>
  <si>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</si>
  <si>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</si>
  <si>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</si>
  <si>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</si>
  <si>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</si>
  <si>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</si>
  <si>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</si>
  <si>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</si>
  <si>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</si>
  <si>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</si>
  <si>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</si>
  <si>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</si>
  <si>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</si>
  <si>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</si>
  <si>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</si>
  <si>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</si>
  <si>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</si>
  <si>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</si>
  <si>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</si>
  <si>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</si>
  <si>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</si>
  <si>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</si>
  <si>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</si>
  <si>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</si>
  <si>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</si>
  <si>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</si>
  <si>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</si>
  <si>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</si>
  <si>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</si>
  <si>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</si>
  <si>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</si>
  <si>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</si>
  <si>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</si>
  <si>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</si>
  <si>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</si>
  <si>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</si>
  <si>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</si>
  <si>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</si>
  <si>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</si>
  <si>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</si>
  <si>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</si>
  <si>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</si>
  <si>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</si>
  <si>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</si>
  <si>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</si>
  <si>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</si>
  <si>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</si>
  <si>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</si>
  <si>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</si>
  <si>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</si>
  <si>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</si>
  <si>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</si>
  <si>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</si>
  <si>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</si>
  <si>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</si>
  <si>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</si>
  <si>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</si>
  <si>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</si>
  <si>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</si>
  <si>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</si>
  <si>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</si>
  <si>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</si>
  <si>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</si>
  <si>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</si>
  <si>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</si>
  <si>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</si>
  <si>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</si>
  <si>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</si>
  <si>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</si>
  <si>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</si>
  <si>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</si>
  <si>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</si>
  <si>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</si>
  <si>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</si>
  <si>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</si>
  <si>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</si>
  <si>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</si>
  <si>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</si>
  <si>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</si>
  <si>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</si>
  <si>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</si>
  <si>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</si>
  <si>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</si>
  <si>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</si>
  <si>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</si>
  <si>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</si>
  <si>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</si>
  <si>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</si>
  <si>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</si>
  <si>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</si>
  <si>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</si>
  <si>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</si>
  <si>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</si>
  <si>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</si>
  <si>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</si>
  <si>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</si>
  <si>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</si>
  <si>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</si>
  <si>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</si>
  <si>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</si>
  <si>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</si>
  <si>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</si>
  <si>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</si>
  <si>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</si>
  <si>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</si>
  <si>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</si>
  <si>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</si>
  <si>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</si>
  <si>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</si>
  <si>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</si>
  <si>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</si>
  <si>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</si>
  <si>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</si>
  <si>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</si>
  <si>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</si>
  <si>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</si>
  <si>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</si>
  <si>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</si>
  <si>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</si>
  <si>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</si>
  <si>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</si>
  <si>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</si>
  <si>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</si>
  <si>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</si>
  <si>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</si>
  <si>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</si>
  <si>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</si>
  <si>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</si>
  <si>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</si>
  <si>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</si>
  <si>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</si>
  <si>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</si>
  <si>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</si>
  <si>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</si>
  <si>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</si>
  <si>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</si>
  <si>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</si>
  <si>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</si>
  <si>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</si>
  <si>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</si>
  <si>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</si>
  <si>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</si>
  <si>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</si>
  <si>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</si>
  <si>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</si>
  <si>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</si>
  <si>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</si>
  <si>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</si>
  <si>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</si>
  <si>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</si>
  <si>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</si>
  <si>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</si>
  <si>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</si>
  <si>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</si>
  <si>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</si>
  <si>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</si>
  <si>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</si>
  <si>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</si>
  <si>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</si>
  <si>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</si>
  <si>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</si>
  <si>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</si>
  <si>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</si>
  <si>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</si>
  <si>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</si>
  <si>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</si>
  <si>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</si>
  <si>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</si>
  <si>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</si>
  <si>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</si>
  <si>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</si>
  <si>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</si>
  <si>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</si>
  <si>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</si>
  <si>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</si>
  <si>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</si>
  <si>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</si>
  <si>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</si>
  <si>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</si>
  <si>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</si>
  <si>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</si>
  <si>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</si>
  <si>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</si>
  <si>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</si>
  <si>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</si>
  <si>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</si>
  <si>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</si>
  <si>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</si>
  <si>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</si>
  <si>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</si>
  <si>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</si>
  <si>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</si>
  <si>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</si>
  <si>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</si>
  <si>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</si>
  <si>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</si>
  <si>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</si>
  <si>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</si>
  <si>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</si>
  <si>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</si>
  <si>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</si>
  <si>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</si>
  <si>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</si>
  <si>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</si>
  <si>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</si>
  <si>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</si>
  <si>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</si>
  <si>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</si>
  <si>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</si>
  <si>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</si>
  <si>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</si>
  <si>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</si>
  <si>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</si>
  <si>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</si>
  <si>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</si>
  <si>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</si>
  <si>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</si>
  <si>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</si>
  <si>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포장공사</t>
    <phoneticPr fontId="2" type="noConversion"/>
  </si>
  <si>
    <t>전기인입 및 수변전 설비공사</t>
    <phoneticPr fontId="2" type="noConversion"/>
  </si>
  <si>
    <t>제2봉안당 신축공사</t>
    <phoneticPr fontId="2" type="noConversion"/>
  </si>
  <si>
    <t>기타</t>
  </si>
  <si>
    <t>전라도</t>
  </si>
  <si>
    <t>기초공사,골재비및운반비, 기타공사</t>
    <phoneticPr fontId="2" type="noConversion"/>
  </si>
  <si>
    <t>바닥난방공사, 기타공사</t>
    <phoneticPr fontId="2" type="noConversion"/>
  </si>
  <si>
    <t>펌프실배관공사, 기타공사</t>
    <phoneticPr fontId="2" type="noConversion"/>
  </si>
  <si>
    <t>토목 상수도공사, 사급자재비,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</si>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</sst>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3708.42</v>
      </c>
      <c r="D7" s="36">
        <f>+C7/3.3058</f>
        <v>1121.7920019359913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1040930</v>
      </c>
      <c r="E25" s="58">
        <f t="shared" si="0"/>
        <v>3441100</v>
      </c>
    </row>
    <row r="26" spans="1:5" x14ac:dyDescent="0.3">
      <c r="B26" s="2">
        <v>3</v>
      </c>
      <c r="C26" s="35" t="s">
        <v>95</v>
      </c>
      <c r="D26" s="45">
        <f>+D66</f>
        <v>245850</v>
      </c>
      <c r="E26" s="58">
        <f t="shared" si="0"/>
        <v>812730</v>
      </c>
    </row>
    <row r="27" spans="1:5" x14ac:dyDescent="0.3">
      <c r="B27" s="2">
        <v>4</v>
      </c>
      <c r="C27" s="35" t="s">
        <v>96</v>
      </c>
      <c r="D27" s="45">
        <f>+D95</f>
        <v>95190</v>
      </c>
      <c r="E27" s="58">
        <f t="shared" si="0"/>
        <v>314670</v>
      </c>
    </row>
    <row r="28" spans="1:5" x14ac:dyDescent="0.3">
      <c r="B28" s="2">
        <v>5</v>
      </c>
      <c r="C28" s="35" t="s">
        <v>97</v>
      </c>
      <c r="D28" s="45">
        <f>+D119</f>
        <v>177310</v>
      </c>
      <c r="E28" s="58">
        <f t="shared" si="0"/>
        <v>586150</v>
      </c>
    </row>
    <row r="29" spans="1:5" x14ac:dyDescent="0.3">
      <c r="B29" s="2">
        <v>6</v>
      </c>
      <c r="C29" s="35" t="s">
        <v>98</v>
      </c>
      <c r="D29" s="45">
        <f>+D133</f>
        <v>74610</v>
      </c>
      <c r="E29" s="58">
        <f t="shared" si="0"/>
        <v>246640</v>
      </c>
    </row>
    <row r="30" spans="1:5" x14ac:dyDescent="0.3">
      <c r="B30" s="2">
        <v>7</v>
      </c>
      <c r="C30" s="35" t="s">
        <v>99</v>
      </c>
      <c r="D30" s="45">
        <f>+D146</f>
        <v>37490</v>
      </c>
      <c r="E30" s="58">
        <f t="shared" si="0"/>
        <v>123930</v>
      </c>
    </row>
    <row r="31" spans="1:5" x14ac:dyDescent="0.3">
      <c r="B31" s="2">
        <v>8</v>
      </c>
      <c r="C31" s="35" t="s">
        <v>100</v>
      </c>
      <c r="D31" s="45">
        <f>+D154</f>
        <v>276350</v>
      </c>
      <c r="E31" s="58">
        <f t="shared" si="0"/>
        <v>913550</v>
      </c>
    </row>
    <row r="32" spans="1:5" x14ac:dyDescent="0.3">
      <c r="B32" s="2">
        <v>9</v>
      </c>
      <c r="C32" s="35" t="s">
        <v>101</v>
      </c>
      <c r="D32" s="45">
        <f>+D161</f>
        <v>55800</v>
      </c>
      <c r="E32" s="58">
        <f t="shared" si="0"/>
        <v>184460</v>
      </c>
    </row>
    <row r="33" spans="1:7" x14ac:dyDescent="0.3">
      <c r="B33" s="2">
        <v>10</v>
      </c>
      <c r="C33" s="35" t="s">
        <v>153</v>
      </c>
      <c r="D33" s="53">
        <f>TRUNC(SUM(D24:D32)*0.275,-1)</f>
        <v>550970</v>
      </c>
      <c r="E33" s="59">
        <f t="shared" si="0"/>
        <v>1821390</v>
      </c>
    </row>
    <row r="34" spans="1:7" x14ac:dyDescent="0.3">
      <c r="C34" s="35" t="s">
        <v>112</v>
      </c>
      <c r="D34" s="44">
        <f>SUM(D24:D33)</f>
        <v>2554500</v>
      </c>
      <c r="E34" s="44">
        <f>SUM(E24:E33)</f>
        <v>8444620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234</v>
      </c>
      <c r="E36" s="56" t="s">
        <v>235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263</v>
      </c>
      <c r="E39" s="66" t="s">
        <v>264</v>
      </c>
      <c r="G39" s="67"/>
    </row>
    <row r="40" spans="1:7" x14ac:dyDescent="0.3">
      <c r="A40" s="2">
        <v>1</v>
      </c>
      <c r="C40" s="38" t="s">
        <v>15</v>
      </c>
      <c r="D40" s="40">
        <f>TRUNC(58236,-1)</f>
        <v>58230</v>
      </c>
      <c r="E40" s="61">
        <f t="shared" ref="E40:E59" si="1">TRUNC(+D40*3.3058,-1)</f>
        <v>192490</v>
      </c>
    </row>
    <row r="41" spans="1:7" x14ac:dyDescent="0.3">
      <c r="A41" s="2">
        <v>2</v>
      </c>
      <c r="C41" s="38" t="s">
        <v>13</v>
      </c>
      <c r="D41" s="42">
        <v>138770</v>
      </c>
      <c r="E41" s="62">
        <f t="shared" si="1"/>
        <v>458740</v>
      </c>
    </row>
    <row r="42" spans="1:7" x14ac:dyDescent="0.3">
      <c r="A42" s="2">
        <v>3</v>
      </c>
      <c r="C42" s="38" t="s">
        <v>14</v>
      </c>
      <c r="D42" s="42">
        <v>4300</v>
      </c>
      <c r="E42" s="62">
        <f t="shared" si="1"/>
        <v>14210</v>
      </c>
    </row>
    <row r="43" spans="1:7" x14ac:dyDescent="0.3">
      <c r="A43" s="2">
        <v>4</v>
      </c>
      <c r="C43" s="38" t="s">
        <v>16</v>
      </c>
      <c r="D43" s="42">
        <f>TRUNC(32596,-1)</f>
        <v>32590</v>
      </c>
      <c r="E43" s="62">
        <f t="shared" si="1"/>
        <v>107730</v>
      </c>
    </row>
    <row r="44" spans="1:7" x14ac:dyDescent="0.3">
      <c r="A44" s="2">
        <v>5</v>
      </c>
      <c r="C44" s="38" t="s">
        <v>17</v>
      </c>
      <c r="D44" s="42">
        <v>28070</v>
      </c>
      <c r="E44" s="62">
        <f t="shared" si="1"/>
        <v>92790</v>
      </c>
    </row>
    <row r="45" spans="1:7" x14ac:dyDescent="0.3">
      <c r="A45" s="2">
        <v>6</v>
      </c>
      <c r="C45" s="38" t="s">
        <v>18</v>
      </c>
      <c r="D45" s="42">
        <f>TRUNC(9454,-1)</f>
        <v>9450</v>
      </c>
      <c r="E45" s="62">
        <f t="shared" si="1"/>
        <v>31230</v>
      </c>
    </row>
    <row r="46" spans="1:7" x14ac:dyDescent="0.3">
      <c r="A46" s="2">
        <v>7</v>
      </c>
      <c r="C46" s="38" t="s">
        <v>19</v>
      </c>
      <c r="D46" s="42">
        <f>TRUNC(133441,-1)</f>
        <v>133440</v>
      </c>
      <c r="E46" s="62">
        <f t="shared" si="1"/>
        <v>441120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TRUNC(71571,-1)</f>
        <v>71570</v>
      </c>
      <c r="E48" s="62">
        <f t="shared" si="1"/>
        <v>236590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TRUNC(11124,-1)</f>
        <v>11120</v>
      </c>
      <c r="E49" s="62">
        <f t="shared" si="1"/>
        <v>36760</v>
      </c>
    </row>
    <row r="50" spans="1:7" x14ac:dyDescent="0.3">
      <c r="A50" s="2">
        <v>11</v>
      </c>
      <c r="C50" s="38" t="s">
        <v>154</v>
      </c>
      <c r="D50" s="42">
        <v>82840</v>
      </c>
      <c r="E50" s="62">
        <f t="shared" si="1"/>
        <v>273850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TRUNC(14873,-1)</f>
        <v>14870</v>
      </c>
      <c r="E52" s="62">
        <f t="shared" si="1"/>
        <v>49150</v>
      </c>
    </row>
    <row r="53" spans="1:7" x14ac:dyDescent="0.3">
      <c r="A53" s="2">
        <v>14</v>
      </c>
      <c r="C53" s="38" t="s">
        <v>25</v>
      </c>
      <c r="D53" s="42">
        <f>TRUNC(108083,-1)</f>
        <v>108080</v>
      </c>
      <c r="E53" s="62">
        <f t="shared" si="1"/>
        <v>357290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TRUNC(17701+1580+14805,-1)</f>
        <v>34080</v>
      </c>
      <c r="E58" s="62">
        <f t="shared" si="1"/>
        <v>112660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TRUNC(313522,-1)</f>
        <v>313520</v>
      </c>
      <c r="E59" s="63">
        <f t="shared" si="1"/>
        <v>1036430</v>
      </c>
    </row>
    <row r="60" spans="1:7" x14ac:dyDescent="0.3">
      <c r="A60" s="2">
        <v>21</v>
      </c>
      <c r="C60" s="27" t="s">
        <v>112</v>
      </c>
      <c r="D60" s="39">
        <f>SUM(D40:D59)</f>
        <v>1040930</v>
      </c>
      <c r="E60" s="39">
        <f>SUM(E40:E59)</f>
        <v>3441040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235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TRUNC(245858,-1)</f>
        <v>245850</v>
      </c>
      <c r="E63" s="61">
        <f>TRUNC(+D63*3.3058,-1)</f>
        <v>812730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3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245850</v>
      </c>
      <c r="E66" s="64">
        <f>SUM(E63:E65)</f>
        <v>812730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234</v>
      </c>
      <c r="E68" s="56" t="s">
        <v>235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TRUNC(4563,-1)</f>
        <v>4560</v>
      </c>
      <c r="E69" s="61">
        <f t="shared" ref="E69:E94" si="2">TRUNC(+D69*3.3058,-1)</f>
        <v>15070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2">
        <f t="shared" si="2"/>
        <v>0</v>
      </c>
    </row>
    <row r="71" spans="1:7" x14ac:dyDescent="0.3">
      <c r="A71" s="2">
        <v>3</v>
      </c>
      <c r="C71" s="38" t="s">
        <v>32</v>
      </c>
      <c r="D71" s="42">
        <f>TRUNC(5281,-1)</f>
        <v>5280</v>
      </c>
      <c r="E71" s="62">
        <f t="shared" si="2"/>
        <v>17450</v>
      </c>
    </row>
    <row r="72" spans="1:7" x14ac:dyDescent="0.3">
      <c r="A72" s="2">
        <v>4</v>
      </c>
      <c r="C72" s="38" t="s">
        <v>33</v>
      </c>
      <c r="D72" s="42">
        <f>TRUNC(2266,-1)</f>
        <v>2260</v>
      </c>
      <c r="E72" s="62">
        <f t="shared" si="2"/>
        <v>7470</v>
      </c>
    </row>
    <row r="73" spans="1:7" x14ac:dyDescent="0.3">
      <c r="A73" s="2">
        <v>5</v>
      </c>
      <c r="C73" s="38" t="s">
        <v>34</v>
      </c>
      <c r="D73" s="42">
        <f>TRUNC(3863,-1)</f>
        <v>3860</v>
      </c>
      <c r="E73" s="62">
        <v>0</v>
      </c>
    </row>
    <row r="74" spans="1:7" x14ac:dyDescent="0.3">
      <c r="A74" s="2">
        <v>6</v>
      </c>
      <c r="C74" s="38" t="s">
        <v>175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2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TRUNC(2213,-1)</f>
        <v>2210</v>
      </c>
      <c r="E89" s="62">
        <f t="shared" si="2"/>
        <v>7300</v>
      </c>
    </row>
    <row r="90" spans="1:7" x14ac:dyDescent="0.3">
      <c r="A90" s="2">
        <v>22</v>
      </c>
      <c r="C90" s="38" t="s">
        <v>36</v>
      </c>
      <c r="D90" s="42">
        <v>0</v>
      </c>
      <c r="E90" s="62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TRUNC(4533,-1)</f>
        <v>4530</v>
      </c>
      <c r="E91" s="62">
        <f t="shared" si="2"/>
        <v>14970</v>
      </c>
    </row>
    <row r="92" spans="1:7" x14ac:dyDescent="0.3">
      <c r="A92" s="2">
        <v>24</v>
      </c>
      <c r="C92" s="38" t="s">
        <v>38</v>
      </c>
      <c r="D92" s="42">
        <f>TRUNC(4505,-1)</f>
        <v>4500</v>
      </c>
      <c r="E92" s="62">
        <f t="shared" si="2"/>
        <v>14870</v>
      </c>
    </row>
    <row r="93" spans="1:7" x14ac:dyDescent="0.3">
      <c r="A93" s="2">
        <v>25</v>
      </c>
      <c r="C93" s="38" t="s">
        <v>148</v>
      </c>
      <c r="D93" s="42">
        <f>TRUNC(64074,-1)</f>
        <v>64070</v>
      </c>
      <c r="E93" s="62">
        <f t="shared" si="2"/>
        <v>211800</v>
      </c>
    </row>
    <row r="94" spans="1:7" ht="17.25" thickBot="1" x14ac:dyDescent="0.35">
      <c r="A94" s="2">
        <v>26</v>
      </c>
      <c r="C94" s="38" t="s">
        <v>47</v>
      </c>
      <c r="D94" s="43">
        <f>TRUNC(1969+1952,-1)</f>
        <v>3920</v>
      </c>
      <c r="E94" s="63">
        <f t="shared" si="2"/>
        <v>12950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95190</v>
      </c>
      <c r="E95" s="39">
        <f>SUM(E69:E94)</f>
        <v>301880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234</v>
      </c>
      <c r="E97" s="56" t="s">
        <v>235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TRUNC(7213,-1)</f>
        <v>7210</v>
      </c>
      <c r="E98" s="61">
        <f t="shared" ref="E98:E118" si="3">TRUNC(+D98*3.3058,-1)</f>
        <v>23830</v>
      </c>
    </row>
    <row r="99" spans="1:7" x14ac:dyDescent="0.3">
      <c r="A99" s="2">
        <v>2</v>
      </c>
      <c r="C99" s="38" t="s">
        <v>40</v>
      </c>
      <c r="D99" s="42">
        <f>TRUNC(3032,-1)</f>
        <v>3030</v>
      </c>
      <c r="E99" s="62">
        <f t="shared" si="3"/>
        <v>10010</v>
      </c>
    </row>
    <row r="100" spans="1:7" x14ac:dyDescent="0.3">
      <c r="A100" s="2">
        <v>3</v>
      </c>
      <c r="C100" s="38" t="s">
        <v>41</v>
      </c>
      <c r="D100" s="42">
        <f>TRUNC(34064,-1)</f>
        <v>34060</v>
      </c>
      <c r="E100" s="62">
        <f t="shared" si="3"/>
        <v>112590</v>
      </c>
    </row>
    <row r="101" spans="1:7" x14ac:dyDescent="0.3">
      <c r="A101" s="2">
        <v>4</v>
      </c>
      <c r="C101" s="38" t="s">
        <v>42</v>
      </c>
      <c r="D101" s="42">
        <f>TRUNC(824,-1)</f>
        <v>820</v>
      </c>
      <c r="E101" s="62">
        <f t="shared" si="3"/>
        <v>2710</v>
      </c>
    </row>
    <row r="102" spans="1:7" x14ac:dyDescent="0.3">
      <c r="A102" s="2">
        <v>5</v>
      </c>
      <c r="C102" s="38" t="s">
        <v>43</v>
      </c>
      <c r="D102" s="42">
        <f>TRUNC(5971,-1)</f>
        <v>5970</v>
      </c>
      <c r="E102" s="62">
        <f t="shared" si="3"/>
        <v>19730</v>
      </c>
    </row>
    <row r="103" spans="1:7" x14ac:dyDescent="0.3">
      <c r="A103" s="2">
        <v>6</v>
      </c>
      <c r="C103" s="38" t="s">
        <v>44</v>
      </c>
      <c r="D103" s="42">
        <f>TRUNC(3624,-1)</f>
        <v>3620</v>
      </c>
      <c r="E103" s="62">
        <f t="shared" si="3"/>
        <v>11960</v>
      </c>
    </row>
    <row r="104" spans="1:7" x14ac:dyDescent="0.3">
      <c r="A104" s="2">
        <v>7</v>
      </c>
      <c r="C104" s="38" t="s">
        <v>45</v>
      </c>
      <c r="D104" s="42">
        <v>5270</v>
      </c>
      <c r="E104" s="62">
        <f t="shared" si="3"/>
        <v>17420</v>
      </c>
    </row>
    <row r="105" spans="1:7" x14ac:dyDescent="0.3">
      <c r="A105" s="2">
        <v>8</v>
      </c>
      <c r="C105" s="38" t="s">
        <v>46</v>
      </c>
      <c r="D105" s="42">
        <f>TRUNC(2447,-1)</f>
        <v>2440</v>
      </c>
      <c r="E105" s="62">
        <f t="shared" si="3"/>
        <v>8060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2">
        <f t="shared" si="3"/>
        <v>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TRUNC(33803,-1)</f>
        <v>33800</v>
      </c>
      <c r="E116" s="62">
        <f t="shared" si="3"/>
        <v>111730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TRUNC(79378,-1)</f>
        <v>79370</v>
      </c>
      <c r="E117" s="62">
        <f t="shared" si="3"/>
        <v>262380</v>
      </c>
    </row>
    <row r="118" spans="1:7" ht="17.25" thickBot="1" x14ac:dyDescent="0.35">
      <c r="A118" s="2">
        <v>21</v>
      </c>
      <c r="C118" s="38" t="s">
        <v>47</v>
      </c>
      <c r="D118" s="43">
        <f>TRUNC(1721,-1)</f>
        <v>1720</v>
      </c>
      <c r="E118" s="63">
        <f t="shared" si="3"/>
        <v>5680</v>
      </c>
    </row>
    <row r="119" spans="1:7" x14ac:dyDescent="0.3">
      <c r="A119" s="2">
        <v>22</v>
      </c>
      <c r="C119" s="27" t="s">
        <v>112</v>
      </c>
      <c r="D119" s="39">
        <f>SUM(D98:D118)</f>
        <v>177310</v>
      </c>
      <c r="E119" s="39">
        <f>SUM(E98:E118)</f>
        <v>586100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234</v>
      </c>
      <c r="E121" s="56" t="s">
        <v>235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TRUNC(603,-1)</f>
        <v>600</v>
      </c>
      <c r="E122" s="61">
        <f t="shared" ref="E122:E132" si="4">TRUNC(+D122*3.3058,-1)</f>
        <v>1980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TRUNC(1047,-1)</f>
        <v>1040</v>
      </c>
      <c r="E124" s="62">
        <f t="shared" si="4"/>
        <v>3430</v>
      </c>
    </row>
    <row r="125" spans="1:7" x14ac:dyDescent="0.3">
      <c r="A125" s="2">
        <v>4</v>
      </c>
      <c r="C125" s="38" t="s">
        <v>138</v>
      </c>
      <c r="D125" s="42">
        <f>TRUNC(10311,-1)</f>
        <v>10310</v>
      </c>
      <c r="E125" s="62">
        <f t="shared" si="4"/>
        <v>34080</v>
      </c>
    </row>
    <row r="126" spans="1:7" x14ac:dyDescent="0.3">
      <c r="A126" s="2">
        <v>5</v>
      </c>
      <c r="C126" s="38" t="s">
        <v>53</v>
      </c>
      <c r="D126" s="42">
        <f>TRUNC(7867,-1)</f>
        <v>7860</v>
      </c>
      <c r="E126" s="62">
        <f t="shared" si="4"/>
        <v>25980</v>
      </c>
    </row>
    <row r="127" spans="1:7" x14ac:dyDescent="0.3">
      <c r="A127" s="2">
        <v>6</v>
      </c>
      <c r="C127" s="38" t="s">
        <v>56</v>
      </c>
      <c r="D127" s="42">
        <v>0</v>
      </c>
      <c r="E127" s="62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2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TRUNC(6015,-1)</f>
        <v>6010</v>
      </c>
      <c r="E130" s="62">
        <f t="shared" si="4"/>
        <v>19860</v>
      </c>
    </row>
    <row r="131" spans="1:7" x14ac:dyDescent="0.3">
      <c r="A131" s="2">
        <v>10</v>
      </c>
      <c r="C131" s="38" t="s">
        <v>148</v>
      </c>
      <c r="D131" s="42">
        <f>TRUNC(42109,-1)</f>
        <v>42100</v>
      </c>
      <c r="E131" s="62">
        <f t="shared" si="4"/>
        <v>139170</v>
      </c>
    </row>
    <row r="132" spans="1:7" ht="17.25" thickBot="1" x14ac:dyDescent="0.35">
      <c r="A132" s="2">
        <v>11</v>
      </c>
      <c r="C132" s="38" t="s">
        <v>47</v>
      </c>
      <c r="D132" s="43">
        <f>TRUNC(6356+338,-1)</f>
        <v>6690</v>
      </c>
      <c r="E132" s="63">
        <f t="shared" si="4"/>
        <v>22110</v>
      </c>
      <c r="F132" s="2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74610</v>
      </c>
      <c r="E133" s="39">
        <f>SUM(E122:E132)</f>
        <v>246610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234</v>
      </c>
      <c r="E135" s="56" t="s">
        <v>235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TRUNC(3388+967,-1)</f>
        <v>4350</v>
      </c>
      <c r="E137" s="62">
        <f t="shared" si="5"/>
        <v>14380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TRUNC(3226,-1)</f>
        <v>3220</v>
      </c>
      <c r="E140" s="62">
        <f t="shared" si="5"/>
        <v>10640</v>
      </c>
    </row>
    <row r="141" spans="1:7" x14ac:dyDescent="0.3">
      <c r="A141" s="2">
        <v>6</v>
      </c>
      <c r="C141" s="38" t="s">
        <v>59</v>
      </c>
      <c r="D141" s="42">
        <v>0</v>
      </c>
      <c r="E141" s="62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TRUNC(6548,-1)</f>
        <v>6540</v>
      </c>
      <c r="E142" s="62">
        <f t="shared" si="5"/>
        <v>21610</v>
      </c>
    </row>
    <row r="143" spans="1:7" x14ac:dyDescent="0.3">
      <c r="A143" s="2">
        <v>8</v>
      </c>
      <c r="C143" s="38" t="s">
        <v>62</v>
      </c>
      <c r="D143" s="42">
        <f>TRUNC(3684,-1)</f>
        <v>3680</v>
      </c>
      <c r="E143" s="62">
        <f t="shared" si="5"/>
        <v>12160</v>
      </c>
    </row>
    <row r="144" spans="1:7" x14ac:dyDescent="0.3">
      <c r="A144" s="2">
        <v>9</v>
      </c>
      <c r="C144" s="38" t="s">
        <v>63</v>
      </c>
      <c r="D144" s="42">
        <f>TRUNC(19708,-1)</f>
        <v>19700</v>
      </c>
      <c r="E144" s="62">
        <f t="shared" si="5"/>
        <v>65120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37490</v>
      </c>
      <c r="E146" s="39">
        <f>SUM(E136:E145)</f>
        <v>123910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234</v>
      </c>
      <c r="E148" s="56" t="s">
        <v>235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TRUNC(28372+1771,-1)</f>
        <v>30140</v>
      </c>
      <c r="E149" s="61">
        <f>TRUNC(+D149*3.3058,-1)</f>
        <v>99630</v>
      </c>
      <c r="F149" s="2" t="s">
        <v>231</v>
      </c>
    </row>
    <row r="150" spans="1:7" x14ac:dyDescent="0.3">
      <c r="A150" s="2">
        <v>2</v>
      </c>
      <c r="C150" s="38" t="s">
        <v>49</v>
      </c>
      <c r="D150" s="42">
        <f>TRUNC(36802,-1)</f>
        <v>36800</v>
      </c>
      <c r="E150" s="62">
        <f>TRUNC(+D150*3.3058,-1)</f>
        <v>121650</v>
      </c>
      <c r="F150" s="2" t="s">
        <v>231</v>
      </c>
    </row>
    <row r="151" spans="1:7" x14ac:dyDescent="0.3">
      <c r="A151" s="2">
        <v>3</v>
      </c>
      <c r="C151" s="38" t="s">
        <v>50</v>
      </c>
      <c r="D151" s="42">
        <f>TRUNC(7765,-1)</f>
        <v>7760</v>
      </c>
      <c r="E151" s="62">
        <f>TRUNC(+D151*3.3058,-1)</f>
        <v>25650</v>
      </c>
      <c r="F151" s="2" t="s">
        <v>231</v>
      </c>
    </row>
    <row r="152" spans="1:7" x14ac:dyDescent="0.3">
      <c r="A152" s="2">
        <v>4</v>
      </c>
      <c r="C152" s="38" t="s">
        <v>47</v>
      </c>
      <c r="D152" s="42">
        <f>TRUNC(153+12383+3193,-1)</f>
        <v>15720</v>
      </c>
      <c r="E152" s="62">
        <f>TRUNC(+D152*3.3058,-1)</f>
        <v>51960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TRUNC(185938,-1)</f>
        <v>185930</v>
      </c>
      <c r="E153" s="63">
        <f>TRUNC(+D153*3.3058,-1)</f>
        <v>614640</v>
      </c>
      <c r="F153" s="2" t="s">
        <v>231</v>
      </c>
    </row>
    <row r="154" spans="1:7" x14ac:dyDescent="0.3">
      <c r="A154" s="2">
        <v>6</v>
      </c>
      <c r="C154" s="27" t="s">
        <v>112</v>
      </c>
      <c r="D154" s="39">
        <f>SUM(D149:D153)</f>
        <v>276350</v>
      </c>
      <c r="E154" s="39">
        <f>SUM(E149:E153)</f>
        <v>913530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234</v>
      </c>
      <c r="E156" s="56" t="s">
        <v>235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TRUNC(45133,-1)</f>
        <v>45130</v>
      </c>
      <c r="E157" s="61">
        <f>TRUNC(+D157*3.3058,-1)</f>
        <v>149190</v>
      </c>
    </row>
    <row r="158" spans="1:7" x14ac:dyDescent="0.3">
      <c r="A158" s="2">
        <v>2</v>
      </c>
      <c r="C158" s="38" t="s">
        <v>52</v>
      </c>
      <c r="D158" s="42">
        <f>TRUNC(6643,-1)</f>
        <v>6640</v>
      </c>
      <c r="E158" s="62">
        <f>TRUNC(+D158*3.3058,-1)</f>
        <v>21950</v>
      </c>
    </row>
    <row r="159" spans="1:7" x14ac:dyDescent="0.3">
      <c r="A159" s="2">
        <v>3</v>
      </c>
      <c r="C159" s="38" t="s">
        <v>47</v>
      </c>
      <c r="D159" s="42">
        <f>TRUNC(4032,-1)</f>
        <v>4030</v>
      </c>
      <c r="E159" s="62">
        <f>TRUNC(+D159*3.3058,-1)</f>
        <v>13320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55800</v>
      </c>
      <c r="E161" s="39">
        <f>SUM(E157:E160)</f>
        <v>184460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2020-12-07T10:19:27Z</dcterms:modified>
</cp:coreProperties>
</file>