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2" i="4"/>
  <c r="D151" i="4"/>
  <c r="D150" i="4"/>
  <c r="D149" i="4"/>
  <c r="D144" i="4"/>
  <c r="D143" i="4"/>
  <c r="D142" i="4"/>
  <c r="D139" i="4"/>
  <c r="D137" i="4"/>
  <c r="D132" i="4"/>
  <c r="D131" i="4"/>
  <c r="D128" i="4"/>
  <c r="D126" i="4"/>
  <c r="D125" i="4"/>
  <c r="D122" i="4"/>
  <c r="D118" i="4"/>
  <c r="D116" i="4"/>
  <c r="D114" i="4"/>
  <c r="D103" i="4"/>
  <c r="D100" i="4"/>
  <c r="D98" i="4"/>
  <c r="D94" i="4"/>
  <c r="D93" i="4"/>
  <c r="D92" i="4"/>
  <c r="D91" i="4"/>
  <c r="D73" i="4"/>
  <c r="D72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<sst xmlns="http://schemas.openxmlformats.org/spreadsheetml/2006/main" count="391" uniqueCount="265">
  <si>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</si>
  <si>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</si>
  <si>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</si>
  <si>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</si>
  <si>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</si>
  <si>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</si>
  <si>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</si>
  <si>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</si>
  <si>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</si>
  <si>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</si>
  <si>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</si>
  <si>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</si>
  <si>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</si>
  <si>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</si>
  <si>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</si>
  <si>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</si>
  <si>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</si>
  <si>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</si>
  <si>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</si>
  <si>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</si>
  <si>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</si>
  <si>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</si>
  <si>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</si>
  <si>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</si>
  <si>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</si>
  <si>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</si>
  <si>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</si>
  <si>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</si>
  <si>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</si>
  <si>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</si>
  <si>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</si>
  <si>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</si>
  <si>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</si>
  <si>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</si>
  <si>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</si>
  <si>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</si>
  <si>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</si>
  <si>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</si>
  <si>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</si>
  <si>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</si>
  <si>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</si>
  <si>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</si>
  <si>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</si>
  <si>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</si>
  <si>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</si>
  <si>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</si>
  <si>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</si>
  <si>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</si>
  <si>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</si>
  <si>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</si>
  <si>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</si>
  <si>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</si>
  <si>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</si>
  <si>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</si>
  <si>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</si>
  <si>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</si>
  <si>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</si>
  <si>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</si>
  <si>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</si>
  <si>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</si>
  <si>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</si>
  <si>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</si>
  <si>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</si>
  <si>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</si>
  <si>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</si>
  <si>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</si>
  <si>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</si>
  <si>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</si>
  <si>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</si>
  <si>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</si>
  <si>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</si>
  <si>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</si>
  <si>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</si>
  <si>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</si>
  <si>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</si>
  <si>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</si>
  <si>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</si>
  <si>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</si>
  <si>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</si>
  <si>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</si>
  <si>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</si>
  <si>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</si>
  <si>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</si>
  <si>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</si>
  <si>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</si>
  <si>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</si>
  <si>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</si>
  <si>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</si>
  <si>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</si>
  <si>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</si>
  <si>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</si>
  <si>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</si>
  <si>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</si>
  <si>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</si>
  <si>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</si>
  <si>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</si>
  <si>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</si>
  <si>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</si>
  <si>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</si>
  <si>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</si>
  <si>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</si>
  <si>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</si>
  <si>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</si>
  <si>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</si>
  <si>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</si>
  <si>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</si>
  <si>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</si>
  <si>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</si>
  <si>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</si>
  <si>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</si>
  <si>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</si>
  <si>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</si>
  <si>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</si>
  <si>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</si>
  <si>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</si>
  <si>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</si>
  <si>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</si>
  <si>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</si>
  <si>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</si>
  <si>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</si>
  <si>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</si>
  <si>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</si>
  <si>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</si>
  <si>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</si>
  <si>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</si>
  <si>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</si>
  <si>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</si>
  <si>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</si>
  <si>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</si>
  <si>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</si>
  <si>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</si>
  <si>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</si>
  <si>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</si>
  <si>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</si>
  <si>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</si>
  <si>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</si>
  <si>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</si>
  <si>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</si>
  <si>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</si>
  <si>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</si>
  <si>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</si>
  <si>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</si>
  <si>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</si>
  <si>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</si>
  <si>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</si>
  <si>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</si>
  <si>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</si>
  <si>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</si>
  <si>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</si>
  <si>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</si>
  <si>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</si>
  <si>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</si>
  <si>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</si>
  <si>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</si>
  <si>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</si>
  <si>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</si>
  <si>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</si>
  <si>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</si>
  <si>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</si>
  <si>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</si>
  <si>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</si>
  <si>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</si>
  <si>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</si>
  <si>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</si>
  <si>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</si>
  <si>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</si>
  <si>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</si>
  <si>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</si>
  <si>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</si>
  <si>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</si>
  <si>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</si>
  <si>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</si>
  <si>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</si>
  <si>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</si>
  <si>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</si>
  <si>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</si>
  <si>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</si>
  <si>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</si>
  <si>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</si>
  <si>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</si>
  <si>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</si>
  <si>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</si>
  <si>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</si>
  <si>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</si>
  <si>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</si>
  <si>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</si>
  <si>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</si>
  <si>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</si>
  <si>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</si>
  <si>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</si>
  <si>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</si>
  <si>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</si>
  <si>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</si>
  <si>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</si>
  <si>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</si>
  <si>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</si>
  <si>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</si>
  <si>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</si>
  <si>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</si>
  <si>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</si>
  <si>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</si>
  <si>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</si>
  <si>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</si>
  <si>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</si>
  <si>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</si>
  <si>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</si>
  <si>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</si>
  <si>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</si>
  <si>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</si>
  <si>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</si>
  <si>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</si>
  <si>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</si>
  <si>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</si>
  <si>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</si>
  <si>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</si>
  <si>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</si>
  <si>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</si>
  <si>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</si>
  <si>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</si>
  <si>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</si>
  <si>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</si>
  <si>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</si>
  <si>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</si>
  <si>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</si>
  <si>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</si>
  <si>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</si>
  <si>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</si>
  <si>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</si>
  <si>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</si>
  <si>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</si>
  <si>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</si>
  <si>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</si>
  <si>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</si>
  <si>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</si>
  <si>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</si>
  <si>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</si>
  <si>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</si>
  <si>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</si>
  <si>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</si>
  <si>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</si>
  <si>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</si>
  <si>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</si>
  <si>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</si>
  <si>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</si>
  <si>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</si>
  <si>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</si>
  <si>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</si>
  <si>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</si>
  <si>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</si>
  <si>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</si>
  <si>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</si>
  <si>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</si>
  <si>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</si>
  <si>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</si>
  <si>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</si>
  <si>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</si>
  <si>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 xml:space="preserve"> 천연물신약연구소 신축공사</t>
    <phoneticPr fontId="2" type="noConversion"/>
  </si>
  <si>
    <t>전라도</t>
  </si>
  <si>
    <t>기초공사, 해체및철거공사, 골재비및운반비, 작업부산물, 기타공사</t>
    <phoneticPr fontId="2" type="noConversion"/>
  </si>
  <si>
    <t>바닥난방공사</t>
    <phoneticPr fontId="2" type="noConversion"/>
  </si>
  <si>
    <t>옥외소화배관공사, 기타공사</t>
    <phoneticPr fontId="2" type="noConversion"/>
  </si>
  <si>
    <t>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</si>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</sst>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3701.01</v>
      </c>
      <c r="D7" s="36">
        <f>+C7/3.3058</f>
        <v>1119.5504870228085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838810</v>
      </c>
      <c r="E25" s="59">
        <f t="shared" si="0"/>
        <v>2772930</v>
      </c>
    </row>
    <row r="26" spans="1:5" x14ac:dyDescent="0.3">
      <c r="B26" s="2">
        <v>3</v>
      </c>
      <c r="C26" s="35" t="s">
        <v>95</v>
      </c>
      <c r="D26" s="45">
        <f>+D66</f>
        <v>10130</v>
      </c>
      <c r="E26" s="59">
        <f t="shared" si="0"/>
        <v>33480</v>
      </c>
    </row>
    <row r="27" spans="1:5" x14ac:dyDescent="0.3">
      <c r="B27" s="2">
        <v>4</v>
      </c>
      <c r="C27" s="35" t="s">
        <v>96</v>
      </c>
      <c r="D27" s="45">
        <f>+D95</f>
        <v>161510</v>
      </c>
      <c r="E27" s="59">
        <f t="shared" si="0"/>
        <v>533910</v>
      </c>
    </row>
    <row r="28" spans="1:5" x14ac:dyDescent="0.3">
      <c r="B28" s="2">
        <v>5</v>
      </c>
      <c r="C28" s="35" t="s">
        <v>97</v>
      </c>
      <c r="D28" s="45">
        <f>+D119</f>
        <v>241320</v>
      </c>
      <c r="E28" s="59">
        <f t="shared" si="0"/>
        <v>797750</v>
      </c>
    </row>
    <row r="29" spans="1:5" x14ac:dyDescent="0.3">
      <c r="B29" s="2">
        <v>6</v>
      </c>
      <c r="C29" s="35" t="s">
        <v>98</v>
      </c>
      <c r="D29" s="45">
        <f>+D133</f>
        <v>83170</v>
      </c>
      <c r="E29" s="59">
        <f t="shared" si="0"/>
        <v>274940</v>
      </c>
    </row>
    <row r="30" spans="1:5" x14ac:dyDescent="0.3">
      <c r="B30" s="2">
        <v>7</v>
      </c>
      <c r="C30" s="35" t="s">
        <v>99</v>
      </c>
      <c r="D30" s="45">
        <f>+D146</f>
        <v>26650</v>
      </c>
      <c r="E30" s="59">
        <f t="shared" si="0"/>
        <v>88090</v>
      </c>
    </row>
    <row r="31" spans="1:5" x14ac:dyDescent="0.3">
      <c r="B31" s="2">
        <v>8</v>
      </c>
      <c r="C31" s="35" t="s">
        <v>100</v>
      </c>
      <c r="D31" s="45">
        <f>+D154</f>
        <v>29430</v>
      </c>
      <c r="E31" s="59">
        <f t="shared" si="0"/>
        <v>97280</v>
      </c>
    </row>
    <row r="32" spans="1:5" x14ac:dyDescent="0.3">
      <c r="B32" s="2">
        <v>9</v>
      </c>
      <c r="C32" s="35" t="s">
        <v>101</v>
      </c>
      <c r="D32" s="45">
        <f>+D161</f>
        <v>13310</v>
      </c>
      <c r="E32" s="59">
        <f t="shared" si="0"/>
        <v>44000</v>
      </c>
    </row>
    <row r="33" spans="1:7" x14ac:dyDescent="0.3">
      <c r="B33" s="2">
        <v>10</v>
      </c>
      <c r="C33" s="35" t="s">
        <v>155</v>
      </c>
      <c r="D33" s="53">
        <f>TRUNC(SUM(D24:D32)*0.275,-1)</f>
        <v>386190</v>
      </c>
      <c r="E33" s="60">
        <f t="shared" si="0"/>
        <v>1276660</v>
      </c>
    </row>
    <row r="34" spans="1:7" x14ac:dyDescent="0.3">
      <c r="C34" s="35" t="s">
        <v>112</v>
      </c>
      <c r="D34" s="44">
        <f>SUM(D24:D33)</f>
        <v>1790520</v>
      </c>
      <c r="E34" s="44">
        <f>SUM(E24:E33)</f>
        <v>5919040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TRUNC(36230,-1)</f>
        <v>36230</v>
      </c>
      <c r="E40" s="62">
        <f t="shared" ref="E40:E59" si="1">TRUNC(+D40*3.3058,-1)</f>
        <v>119760</v>
      </c>
    </row>
    <row r="41" spans="1:7" x14ac:dyDescent="0.3">
      <c r="A41" s="2">
        <v>2</v>
      </c>
      <c r="C41" s="38" t="s">
        <v>13</v>
      </c>
      <c r="D41" s="42">
        <v>152340</v>
      </c>
      <c r="E41" s="63">
        <f t="shared" si="1"/>
        <v>503600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TRUNC(80595,-1)</f>
        <v>80590</v>
      </c>
      <c r="E43" s="63">
        <f t="shared" si="1"/>
        <v>266410</v>
      </c>
    </row>
    <row r="44" spans="1:7" x14ac:dyDescent="0.3">
      <c r="A44" s="2">
        <v>5</v>
      </c>
      <c r="C44" s="38" t="s">
        <v>17</v>
      </c>
      <c r="D44" s="42">
        <f>TRUNC(12515,-1)</f>
        <v>12510</v>
      </c>
      <c r="E44" s="63">
        <f t="shared" si="1"/>
        <v>41350</v>
      </c>
    </row>
    <row r="45" spans="1:7" x14ac:dyDescent="0.3">
      <c r="A45" s="2">
        <v>6</v>
      </c>
      <c r="C45" s="38" t="s">
        <v>18</v>
      </c>
      <c r="D45" s="42">
        <f>TRUNC(8219,-1)</f>
        <v>8210</v>
      </c>
      <c r="E45" s="63">
        <f t="shared" si="1"/>
        <v>27140</v>
      </c>
    </row>
    <row r="46" spans="1:7" x14ac:dyDescent="0.3">
      <c r="A46" s="2">
        <v>7</v>
      </c>
      <c r="C46" s="38" t="s">
        <v>19</v>
      </c>
      <c r="D46" s="42">
        <f>TRUNC(48404,-1)</f>
        <v>48400</v>
      </c>
      <c r="E46" s="63">
        <f t="shared" si="1"/>
        <v>160000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TRUNC(52867,-1)</f>
        <v>52860</v>
      </c>
      <c r="E48" s="63">
        <f t="shared" si="1"/>
        <v>174740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TRUNC(22813,-1)</f>
        <v>22810</v>
      </c>
      <c r="E49" s="63">
        <f t="shared" si="1"/>
        <v>75400</v>
      </c>
    </row>
    <row r="50" spans="1:7" x14ac:dyDescent="0.3">
      <c r="A50" s="2">
        <v>11</v>
      </c>
      <c r="C50" s="38" t="s">
        <v>156</v>
      </c>
      <c r="D50" s="42">
        <f>TRUNC(69082,-1)</f>
        <v>69080</v>
      </c>
      <c r="E50" s="63">
        <f t="shared" si="1"/>
        <v>228360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TRUNC(19482,-1)</f>
        <v>19480</v>
      </c>
      <c r="E52" s="63">
        <f t="shared" si="1"/>
        <v>64390</v>
      </c>
    </row>
    <row r="53" spans="1:7" x14ac:dyDescent="0.3">
      <c r="A53" s="2">
        <v>14</v>
      </c>
      <c r="C53" s="38" t="s">
        <v>25</v>
      </c>
      <c r="D53" s="42">
        <f>TRUNC(59006,-1)</f>
        <v>59000</v>
      </c>
      <c r="E53" s="63">
        <f t="shared" si="1"/>
        <v>195040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TRUNC(14511+360+4292-622+9883,-1)</f>
        <v>28420</v>
      </c>
      <c r="E58" s="63">
        <f t="shared" si="1"/>
        <v>93950</v>
      </c>
      <c r="F58" s="2" t="s">
        <v>258</v>
      </c>
    </row>
    <row r="59" spans="1:7" ht="17.25" thickBot="1" x14ac:dyDescent="0.35">
      <c r="A59" s="2">
        <v>20</v>
      </c>
      <c r="C59" s="38" t="s">
        <v>149</v>
      </c>
      <c r="D59" s="43">
        <f>TRUNC(248887,-1)</f>
        <v>248880</v>
      </c>
      <c r="E59" s="64">
        <f t="shared" si="1"/>
        <v>822740</v>
      </c>
    </row>
    <row r="60" spans="1:7" x14ac:dyDescent="0.3">
      <c r="A60" s="2">
        <v>21</v>
      </c>
      <c r="C60" s="27" t="s">
        <v>112</v>
      </c>
      <c r="D60" s="39">
        <f>SUM(D40:D59)</f>
        <v>838810</v>
      </c>
      <c r="E60" s="39">
        <f>SUM(E40:E59)</f>
        <v>2772880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TRUNC(10132,-1)</f>
        <v>10130</v>
      </c>
      <c r="E63" s="62">
        <f>TRUNC(+D63*3.3058,-1)</f>
        <v>33480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10130</v>
      </c>
      <c r="E66" s="65">
        <f>SUM(E63:E65)</f>
        <v>33480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TRUNC(8764,-1)</f>
        <v>8760</v>
      </c>
      <c r="E69" s="62">
        <f t="shared" ref="E69:E94" si="2">TRUNC(+D69*3.3058,-1)</f>
        <v>28950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TRUNC(5773,-1)</f>
        <v>5770</v>
      </c>
      <c r="E72" s="63">
        <f t="shared" si="2"/>
        <v>19070</v>
      </c>
    </row>
    <row r="73" spans="1:7" x14ac:dyDescent="0.3">
      <c r="A73" s="2">
        <v>5</v>
      </c>
      <c r="C73" s="38" t="s">
        <v>34</v>
      </c>
      <c r="D73" s="42">
        <f>TRUNC(7373,-1)</f>
        <v>7370</v>
      </c>
      <c r="E73" s="63">
        <f t="shared" si="2"/>
        <v>24360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13500</v>
      </c>
      <c r="E89" s="63">
        <f t="shared" si="2"/>
        <v>44620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TRUNC(8289,-1)</f>
        <v>8280</v>
      </c>
      <c r="E91" s="63">
        <f t="shared" si="2"/>
        <v>27370</v>
      </c>
    </row>
    <row r="92" spans="1:7" x14ac:dyDescent="0.3">
      <c r="A92" s="2">
        <v>24</v>
      </c>
      <c r="C92" s="38" t="s">
        <v>38</v>
      </c>
      <c r="D92" s="42">
        <f>TRUNC(8662,-1)</f>
        <v>8660</v>
      </c>
      <c r="E92" s="63">
        <f t="shared" si="2"/>
        <v>28620</v>
      </c>
    </row>
    <row r="93" spans="1:7" x14ac:dyDescent="0.3">
      <c r="A93" s="2">
        <v>25</v>
      </c>
      <c r="C93" s="38" t="s">
        <v>149</v>
      </c>
      <c r="D93" s="42">
        <f>TRUNC(109087,-1)</f>
        <v>109080</v>
      </c>
      <c r="E93" s="63">
        <f t="shared" si="2"/>
        <v>360590</v>
      </c>
    </row>
    <row r="94" spans="1:7" ht="17.25" thickBot="1" x14ac:dyDescent="0.35">
      <c r="A94" s="2">
        <v>26</v>
      </c>
      <c r="C94" s="38" t="s">
        <v>47</v>
      </c>
      <c r="D94" s="43">
        <f>TRUNC(95,-1)</f>
        <v>90</v>
      </c>
      <c r="E94" s="64">
        <f t="shared" si="2"/>
        <v>290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161510</v>
      </c>
      <c r="E95" s="39">
        <f>SUM(E69:E94)</f>
        <v>533870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TRUNC(15305,-1)</f>
        <v>15300</v>
      </c>
      <c r="E98" s="62">
        <f t="shared" ref="E98:E118" si="3">TRUNC(+D98*3.3058,-1)</f>
        <v>50570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TRUNC(28776,-1)</f>
        <v>28770</v>
      </c>
      <c r="E100" s="63">
        <f t="shared" si="3"/>
        <v>95100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20930</v>
      </c>
      <c r="E102" s="63">
        <f t="shared" si="3"/>
        <v>69190</v>
      </c>
    </row>
    <row r="103" spans="1:7" x14ac:dyDescent="0.3">
      <c r="A103" s="2">
        <v>6</v>
      </c>
      <c r="C103" s="38" t="s">
        <v>44</v>
      </c>
      <c r="D103" s="42">
        <f>TRUNC(4663,-1)</f>
        <v>4660</v>
      </c>
      <c r="E103" s="63">
        <f t="shared" si="3"/>
        <v>15400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7160</v>
      </c>
      <c r="E105" s="63">
        <f t="shared" si="3"/>
        <v>23660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TRUNC(1876,-1)</f>
        <v>1870</v>
      </c>
      <c r="E114" s="63">
        <f t="shared" si="3"/>
        <v>6180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TRUNC(1674,-1)</f>
        <v>1670</v>
      </c>
      <c r="E116" s="63">
        <f t="shared" si="3"/>
        <v>5520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v>159000</v>
      </c>
      <c r="E117" s="63">
        <f t="shared" si="3"/>
        <v>525620</v>
      </c>
    </row>
    <row r="118" spans="1:7" ht="17.25" thickBot="1" x14ac:dyDescent="0.35">
      <c r="A118" s="2">
        <v>21</v>
      </c>
      <c r="C118" s="38" t="s">
        <v>47</v>
      </c>
      <c r="D118" s="43">
        <f>TRUNC(1962,-1)</f>
        <v>1960</v>
      </c>
      <c r="E118" s="64">
        <f t="shared" si="3"/>
        <v>6470</v>
      </c>
    </row>
    <row r="119" spans="1:7" x14ac:dyDescent="0.3">
      <c r="A119" s="2">
        <v>22</v>
      </c>
      <c r="C119" s="27" t="s">
        <v>112</v>
      </c>
      <c r="D119" s="39">
        <f>SUM(D98:D118)</f>
        <v>241320</v>
      </c>
      <c r="E119" s="39">
        <f>SUM(E98:E118)</f>
        <v>797710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TRUNC(3962,-1)</f>
        <v>3960</v>
      </c>
      <c r="E122" s="62">
        <f t="shared" ref="E122:E132" si="4">TRUNC(+D122*3.3058,-1)</f>
        <v>13090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TRUNC(9499,-1)</f>
        <v>9490</v>
      </c>
      <c r="E125" s="63">
        <f t="shared" si="4"/>
        <v>31370</v>
      </c>
    </row>
    <row r="126" spans="1:7" x14ac:dyDescent="0.3">
      <c r="A126" s="2">
        <v>5</v>
      </c>
      <c r="C126" s="38" t="s">
        <v>53</v>
      </c>
      <c r="D126" s="42">
        <f>TRUNC(21459,-1)</f>
        <v>21450</v>
      </c>
      <c r="E126" s="63">
        <f t="shared" si="4"/>
        <v>70900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TRUNC(6181,-1)</f>
        <v>6180</v>
      </c>
      <c r="E128" s="63">
        <f t="shared" si="4"/>
        <v>20420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149</v>
      </c>
      <c r="D131" s="42">
        <f>TRUNC(35848,-1)</f>
        <v>35840</v>
      </c>
      <c r="E131" s="63">
        <f t="shared" si="4"/>
        <v>118470</v>
      </c>
    </row>
    <row r="132" spans="1:7" ht="18" thickBot="1" x14ac:dyDescent="0.35">
      <c r="A132" s="2">
        <v>11</v>
      </c>
      <c r="C132" s="38" t="s">
        <v>47</v>
      </c>
      <c r="D132" s="43">
        <f>TRUNC(6255,-1)</f>
        <v>6250</v>
      </c>
      <c r="E132" s="64">
        <f t="shared" si="4"/>
        <v>20660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83170</v>
      </c>
      <c r="E133" s="39">
        <f>SUM(E122:E132)</f>
        <v>274910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TRUNC(278+538,-1)</f>
        <v>810</v>
      </c>
      <c r="E137" s="63">
        <f t="shared" si="5"/>
        <v>2670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TRUNC(1093,-1)</f>
        <v>1090</v>
      </c>
      <c r="E139" s="63">
        <f t="shared" si="5"/>
        <v>3600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TRUNC(4692,-1)</f>
        <v>4690</v>
      </c>
      <c r="E142" s="63">
        <f t="shared" si="5"/>
        <v>15500</v>
      </c>
    </row>
    <row r="143" spans="1:7" x14ac:dyDescent="0.3">
      <c r="A143" s="2">
        <v>8</v>
      </c>
      <c r="C143" s="38" t="s">
        <v>62</v>
      </c>
      <c r="D143" s="42">
        <f>TRUNC(9816,-1)</f>
        <v>9810</v>
      </c>
      <c r="E143" s="63">
        <f t="shared" si="5"/>
        <v>32420</v>
      </c>
    </row>
    <row r="144" spans="1:7" x14ac:dyDescent="0.3">
      <c r="A144" s="2">
        <v>9</v>
      </c>
      <c r="C144" s="38" t="s">
        <v>63</v>
      </c>
      <c r="D144" s="42">
        <f>TRUNC(10259,-1)</f>
        <v>10250</v>
      </c>
      <c r="E144" s="63">
        <f t="shared" si="5"/>
        <v>33880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26650</v>
      </c>
      <c r="E146" s="39">
        <f>SUM(E136:E145)</f>
        <v>88070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TRUNC(4827+3541,-1)</f>
        <v>8360</v>
      </c>
      <c r="E149" s="62">
        <f>TRUNC(+D149*3.3058,-1)</f>
        <v>27630</v>
      </c>
    </row>
    <row r="150" spans="1:7" x14ac:dyDescent="0.3">
      <c r="A150" s="2">
        <v>2</v>
      </c>
      <c r="C150" s="38" t="s">
        <v>49</v>
      </c>
      <c r="D150" s="42">
        <f>TRUNC(13328,-1)</f>
        <v>13320</v>
      </c>
      <c r="E150" s="63">
        <f>TRUNC(+D150*3.3058,-1)</f>
        <v>44030</v>
      </c>
    </row>
    <row r="151" spans="1:7" x14ac:dyDescent="0.3">
      <c r="A151" s="2">
        <v>3</v>
      </c>
      <c r="C151" s="38" t="s">
        <v>50</v>
      </c>
      <c r="D151" s="42">
        <f>TRUNC(2399,-1)</f>
        <v>2390</v>
      </c>
      <c r="E151" s="63">
        <f>TRUNC(+D151*3.3058,-1)</f>
        <v>7900</v>
      </c>
    </row>
    <row r="152" spans="1:7" x14ac:dyDescent="0.3">
      <c r="A152" s="2">
        <v>4</v>
      </c>
      <c r="C152" s="38" t="s">
        <v>47</v>
      </c>
      <c r="D152" s="42">
        <f>TRUNC(197+5170,-1)</f>
        <v>5360</v>
      </c>
      <c r="E152" s="63">
        <f>TRUNC(+D152*3.3058,-1)</f>
        <v>17710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29430</v>
      </c>
      <c r="E154" s="39">
        <f>SUM(E149:E153)</f>
        <v>97270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TRUNC(13289,-1)</f>
        <v>13280</v>
      </c>
      <c r="E157" s="62">
        <f>TRUNC(+D157*3.3058,-1)</f>
        <v>43900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TRUNC(33,-1)</f>
        <v>30</v>
      </c>
      <c r="E159" s="63">
        <f>TRUNC(+D159*3.3058,-1)</f>
        <v>90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13310</v>
      </c>
      <c r="E161" s="39">
        <f>SUM(E157:E160)</f>
        <v>43990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2020-12-08T01:24:43Z</dcterms:modified>
</cp:coreProperties>
</file>