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1" i="4"/>
  <c r="D150" i="4"/>
  <c r="D149" i="4"/>
  <c r="D144" i="4"/>
  <c r="D143" i="4"/>
  <c r="D137" i="4"/>
  <c r="D132" i="4"/>
  <c r="D131" i="4"/>
  <c r="D128" i="4"/>
  <c r="D126" i="4"/>
  <c r="D125" i="4"/>
  <c r="D124" i="4"/>
  <c r="D118" i="4"/>
  <c r="D117" i="4"/>
  <c r="D116" i="4"/>
  <c r="D114" i="4"/>
  <c r="D104" i="4"/>
  <c r="D103" i="4"/>
  <c r="D102" i="4"/>
  <c r="D100" i="4"/>
  <c r="D99" i="4"/>
  <c r="D98" i="4"/>
  <c r="D94" i="4"/>
  <c r="D92" i="4"/>
  <c r="D91" i="4"/>
  <c r="D89" i="4"/>
  <c r="D75" i="4"/>
  <c r="D73" i="4"/>
  <c r="D72" i="4"/>
  <c r="D71" i="4"/>
  <c r="D70" i="4"/>
  <c r="D69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<sst xmlns="http://schemas.openxmlformats.org/spreadsheetml/2006/main" count="391" uniqueCount="265">
  <si>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</si>
  <si>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</si>
  <si>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</si>
  <si>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</si>
  <si>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</si>
  <si>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</si>
  <si>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</si>
  <si>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</si>
  <si>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</si>
  <si>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</si>
  <si>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</si>
  <si>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</si>
  <si>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</si>
  <si>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</si>
  <si>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</si>
  <si>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</si>
  <si>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</si>
  <si>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</si>
  <si>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</si>
  <si>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</si>
  <si>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</si>
  <si>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</si>
  <si>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</si>
  <si>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</si>
  <si>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</si>
  <si>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</si>
  <si>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</si>
  <si>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</si>
  <si>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</si>
  <si>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</si>
  <si>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</si>
  <si>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</si>
  <si>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</si>
  <si>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</si>
  <si>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</si>
  <si>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</si>
  <si>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</si>
  <si>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</si>
  <si>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</si>
  <si>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</si>
  <si>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</si>
  <si>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</si>
  <si>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</si>
  <si>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</si>
  <si>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</si>
  <si>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</si>
  <si>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</si>
  <si>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</si>
  <si>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</si>
  <si>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</si>
  <si>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</si>
  <si>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</si>
  <si>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</si>
  <si>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</si>
  <si>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</si>
  <si>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</si>
  <si>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</si>
  <si>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</si>
  <si>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</si>
  <si>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</si>
  <si>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</si>
  <si>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</si>
  <si>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</si>
  <si>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</si>
  <si>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</si>
  <si>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</si>
  <si>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</si>
  <si>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</si>
  <si>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</si>
  <si>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</si>
  <si>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</si>
  <si>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</si>
  <si>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</si>
  <si>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</si>
  <si>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</si>
  <si>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</si>
  <si>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</si>
  <si>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</si>
  <si>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</si>
  <si>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</si>
  <si>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</si>
  <si>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</si>
  <si>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</si>
  <si>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</si>
  <si>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</si>
  <si>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</si>
  <si>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</si>
  <si>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</si>
  <si>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</si>
  <si>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</si>
  <si>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</si>
  <si>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</si>
  <si>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</si>
  <si>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</si>
  <si>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</si>
  <si>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</si>
  <si>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</si>
  <si>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</si>
  <si>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</si>
  <si>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</si>
  <si>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</si>
  <si>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</si>
  <si>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</si>
  <si>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</si>
  <si>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</si>
  <si>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</si>
  <si>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</si>
  <si>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</si>
  <si>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</si>
  <si>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</si>
  <si>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</si>
  <si>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</si>
  <si>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</si>
  <si>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</si>
  <si>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</si>
  <si>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</si>
  <si>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</si>
  <si>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</si>
  <si>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</si>
  <si>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</si>
  <si>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</si>
  <si>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</si>
  <si>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</si>
  <si>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</si>
  <si>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</si>
  <si>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</si>
  <si>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</si>
  <si>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</si>
  <si>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</si>
  <si>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</si>
  <si>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</si>
  <si>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</si>
  <si>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</si>
  <si>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</si>
  <si>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</si>
  <si>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</si>
  <si>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</si>
  <si>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</si>
  <si>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</si>
  <si>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</si>
  <si>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</si>
  <si>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</si>
  <si>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</si>
  <si>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</si>
  <si>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</si>
  <si>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</si>
  <si>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</si>
  <si>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</si>
  <si>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</si>
  <si>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</si>
  <si>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</si>
  <si>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</si>
  <si>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</si>
  <si>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</si>
  <si>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</si>
  <si>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</si>
  <si>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</si>
  <si>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</si>
  <si>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</si>
  <si>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</si>
  <si>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</si>
  <si>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</si>
  <si>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</si>
  <si>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</si>
  <si>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</si>
  <si>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</si>
  <si>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</si>
  <si>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</si>
  <si>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</si>
  <si>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</si>
  <si>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</si>
  <si>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</si>
  <si>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</si>
  <si>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</si>
  <si>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</si>
  <si>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</si>
  <si>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</si>
  <si>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</si>
  <si>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</si>
  <si>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</si>
  <si>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</si>
  <si>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</si>
  <si>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</si>
  <si>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</si>
  <si>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</si>
  <si>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</si>
  <si>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</si>
  <si>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</si>
  <si>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</si>
  <si>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</si>
  <si>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</si>
  <si>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</si>
  <si>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</si>
  <si>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</si>
  <si>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</si>
  <si>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</si>
  <si>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</si>
  <si>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</si>
  <si>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</si>
  <si>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</si>
  <si>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</si>
  <si>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</si>
  <si>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</si>
  <si>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</si>
  <si>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</si>
  <si>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</si>
  <si>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</si>
  <si>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</si>
  <si>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</si>
  <si>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</si>
  <si>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</si>
  <si>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</si>
  <si>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</si>
  <si>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</si>
  <si>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</si>
  <si>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</si>
  <si>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</si>
  <si>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</si>
  <si>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</si>
  <si>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</si>
  <si>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</si>
  <si>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</si>
  <si>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</si>
  <si>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</si>
  <si>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</si>
  <si>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</si>
  <si>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</si>
  <si>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</si>
  <si>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</si>
  <si>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</si>
  <si>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</si>
  <si>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</si>
  <si>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</si>
  <si>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</si>
  <si>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</si>
  <si>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</si>
  <si>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</si>
  <si>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</si>
  <si>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</si>
  <si>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</si>
  <si>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</si>
  <si>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</si>
  <si>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</si>
  <si>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</si>
  <si>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</si>
  <si>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</si>
  <si>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</si>
  <si>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</si>
  <si>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</si>
  <si>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</si>
  <si>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</si>
  <si>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</si>
  <si>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</si>
  <si>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</si>
  <si>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</si>
  <si>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</si>
  <si>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교육연구</t>
  </si>
  <si>
    <t>(가칭)내곡중학교 교사 신축공사</t>
    <phoneticPr fontId="2" type="noConversion"/>
  </si>
  <si>
    <t>서울</t>
  </si>
  <si>
    <t>기초공사, 골재비및운반비, 작업부산물, 기타공사</t>
    <phoneticPr fontId="2" type="noConversion"/>
  </si>
  <si>
    <t>난방배관공사,기타공사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</si>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</sst>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10502.98</v>
      </c>
      <c r="D7" s="36">
        <f>+C7/3.3058</f>
        <v>3177.1371528828117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969380</v>
      </c>
      <c r="E25" s="59">
        <f t="shared" si="0"/>
        <v>3204570</v>
      </c>
    </row>
    <row r="26" spans="1:5" x14ac:dyDescent="0.3">
      <c r="B26" s="2">
        <v>3</v>
      </c>
      <c r="C26" s="35" t="s">
        <v>95</v>
      </c>
      <c r="D26" s="45">
        <f>+D66</f>
        <v>15560</v>
      </c>
      <c r="E26" s="59">
        <f t="shared" si="0"/>
        <v>51430</v>
      </c>
    </row>
    <row r="27" spans="1:5" x14ac:dyDescent="0.3">
      <c r="B27" s="2">
        <v>4</v>
      </c>
      <c r="C27" s="35" t="s">
        <v>96</v>
      </c>
      <c r="D27" s="45">
        <f>+D95</f>
        <v>48230</v>
      </c>
      <c r="E27" s="59">
        <f t="shared" si="0"/>
        <v>159430</v>
      </c>
    </row>
    <row r="28" spans="1:5" x14ac:dyDescent="0.3">
      <c r="B28" s="2">
        <v>5</v>
      </c>
      <c r="C28" s="35" t="s">
        <v>97</v>
      </c>
      <c r="D28" s="45">
        <f>+D119</f>
        <v>138270</v>
      </c>
      <c r="E28" s="59">
        <f t="shared" si="0"/>
        <v>457090</v>
      </c>
    </row>
    <row r="29" spans="1:5" x14ac:dyDescent="0.3">
      <c r="B29" s="2">
        <v>6</v>
      </c>
      <c r="C29" s="35" t="s">
        <v>98</v>
      </c>
      <c r="D29" s="45">
        <f>+D133</f>
        <v>66040</v>
      </c>
      <c r="E29" s="59">
        <f t="shared" si="0"/>
        <v>218310</v>
      </c>
    </row>
    <row r="30" spans="1:5" x14ac:dyDescent="0.3">
      <c r="B30" s="2">
        <v>7</v>
      </c>
      <c r="C30" s="35" t="s">
        <v>99</v>
      </c>
      <c r="D30" s="45">
        <f>+D146</f>
        <v>32870</v>
      </c>
      <c r="E30" s="59">
        <f t="shared" si="0"/>
        <v>108660</v>
      </c>
    </row>
    <row r="31" spans="1:5" x14ac:dyDescent="0.3">
      <c r="B31" s="2">
        <v>8</v>
      </c>
      <c r="C31" s="35" t="s">
        <v>100</v>
      </c>
      <c r="D31" s="45">
        <f>+D154</f>
        <v>38020</v>
      </c>
      <c r="E31" s="59">
        <f t="shared" si="0"/>
        <v>125680</v>
      </c>
    </row>
    <row r="32" spans="1:5" x14ac:dyDescent="0.3">
      <c r="B32" s="2">
        <v>9</v>
      </c>
      <c r="C32" s="35" t="s">
        <v>101</v>
      </c>
      <c r="D32" s="45">
        <f>+D161</f>
        <v>20370</v>
      </c>
      <c r="E32" s="59">
        <f t="shared" si="0"/>
        <v>67330</v>
      </c>
    </row>
    <row r="33" spans="1:7" x14ac:dyDescent="0.3">
      <c r="B33" s="2">
        <v>10</v>
      </c>
      <c r="C33" s="35" t="s">
        <v>155</v>
      </c>
      <c r="D33" s="53">
        <f>TRUNC(SUM(D24:D32)*0.275,-1)</f>
        <v>365400</v>
      </c>
      <c r="E33" s="60">
        <f t="shared" si="0"/>
        <v>1207930</v>
      </c>
    </row>
    <row r="34" spans="1:7" x14ac:dyDescent="0.3">
      <c r="C34" s="35" t="s">
        <v>112</v>
      </c>
      <c r="D34" s="44">
        <f>SUM(D24:D33)</f>
        <v>1694140</v>
      </c>
      <c r="E34" s="44">
        <f>SUM(E24:E33)</f>
        <v>5600430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TRUNC(40891,-1)</f>
        <v>40890</v>
      </c>
      <c r="E40" s="62">
        <f t="shared" ref="E40:E59" si="1">TRUNC(+D40*3.3058,-1)</f>
        <v>135170</v>
      </c>
    </row>
    <row r="41" spans="1:7" x14ac:dyDescent="0.3">
      <c r="A41" s="2">
        <v>2</v>
      </c>
      <c r="C41" s="38" t="s">
        <v>13</v>
      </c>
      <c r="D41" s="42">
        <f>TRUNC(164459,-1)</f>
        <v>164450</v>
      </c>
      <c r="E41" s="63">
        <f t="shared" si="1"/>
        <v>543630</v>
      </c>
    </row>
    <row r="42" spans="1:7" x14ac:dyDescent="0.3">
      <c r="A42" s="2">
        <v>3</v>
      </c>
      <c r="C42" s="38" t="s">
        <v>14</v>
      </c>
      <c r="D42" s="42">
        <f>TRUNC(17222,-1)</f>
        <v>17220</v>
      </c>
      <c r="E42" s="63">
        <f t="shared" si="1"/>
        <v>56920</v>
      </c>
    </row>
    <row r="43" spans="1:7" x14ac:dyDescent="0.3">
      <c r="A43" s="2">
        <v>4</v>
      </c>
      <c r="C43" s="38" t="s">
        <v>16</v>
      </c>
      <c r="D43" s="42">
        <f>TRUNC(45851,-1)</f>
        <v>45850</v>
      </c>
      <c r="E43" s="63">
        <f t="shared" si="1"/>
        <v>151570</v>
      </c>
    </row>
    <row r="44" spans="1:7" x14ac:dyDescent="0.3">
      <c r="A44" s="2">
        <v>5</v>
      </c>
      <c r="C44" s="38" t="s">
        <v>17</v>
      </c>
      <c r="D44" s="42">
        <f>TRUNC(20476,-1)</f>
        <v>20470</v>
      </c>
      <c r="E44" s="63">
        <f t="shared" si="1"/>
        <v>67660</v>
      </c>
    </row>
    <row r="45" spans="1:7" x14ac:dyDescent="0.3">
      <c r="A45" s="2">
        <v>6</v>
      </c>
      <c r="C45" s="38" t="s">
        <v>18</v>
      </c>
      <c r="D45" s="42">
        <f>TRUNC(9953,-1)</f>
        <v>9950</v>
      </c>
      <c r="E45" s="63">
        <f t="shared" si="1"/>
        <v>32890</v>
      </c>
    </row>
    <row r="46" spans="1:7" x14ac:dyDescent="0.3">
      <c r="A46" s="2">
        <v>7</v>
      </c>
      <c r="C46" s="38" t="s">
        <v>19</v>
      </c>
      <c r="D46" s="42">
        <f>TRUNC(10382,-1)</f>
        <v>10380</v>
      </c>
      <c r="E46" s="63">
        <f t="shared" si="1"/>
        <v>34310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TRUNC(51628,-1)</f>
        <v>51620</v>
      </c>
      <c r="E48" s="63">
        <f t="shared" si="1"/>
        <v>170640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TRUNC(21585,-1)</f>
        <v>21580</v>
      </c>
      <c r="E49" s="63">
        <f t="shared" si="1"/>
        <v>71330</v>
      </c>
    </row>
    <row r="50" spans="1:7" x14ac:dyDescent="0.3">
      <c r="A50" s="2">
        <v>11</v>
      </c>
      <c r="C50" s="38" t="s">
        <v>156</v>
      </c>
      <c r="D50" s="42">
        <f>TRUNC(50314,-1)</f>
        <v>50310</v>
      </c>
      <c r="E50" s="63">
        <f t="shared" si="1"/>
        <v>166310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TRUNC(7656,-1)</f>
        <v>7650</v>
      </c>
      <c r="E52" s="63">
        <f t="shared" si="1"/>
        <v>25280</v>
      </c>
    </row>
    <row r="53" spans="1:7" x14ac:dyDescent="0.3">
      <c r="A53" s="2">
        <v>14</v>
      </c>
      <c r="C53" s="38" t="s">
        <v>25</v>
      </c>
      <c r="D53" s="42">
        <f>TRUNC(77326,-1)</f>
        <v>77320</v>
      </c>
      <c r="E53" s="63">
        <f t="shared" si="1"/>
        <v>255600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TRUNC(20913+5660-619+15339,-1)</f>
        <v>41290</v>
      </c>
      <c r="E58" s="63">
        <f t="shared" si="1"/>
        <v>136490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TRUNC(410404,-1)</f>
        <v>410400</v>
      </c>
      <c r="E59" s="64">
        <f t="shared" si="1"/>
        <v>1356700</v>
      </c>
    </row>
    <row r="60" spans="1:7" x14ac:dyDescent="0.3">
      <c r="A60" s="2">
        <v>21</v>
      </c>
      <c r="C60" s="27" t="s">
        <v>112</v>
      </c>
      <c r="D60" s="39">
        <f>SUM(D40:D59)</f>
        <v>969380</v>
      </c>
      <c r="E60" s="39">
        <f>SUM(E40:E59)</f>
        <v>3204500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15560</v>
      </c>
      <c r="E63" s="62">
        <f>TRUNC(+D63*3.3058,-1)</f>
        <v>51430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15560</v>
      </c>
      <c r="E66" s="65">
        <f>SUM(E63:E65)</f>
        <v>51430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TRUNC(4668,-1)</f>
        <v>4660</v>
      </c>
      <c r="E69" s="62">
        <f t="shared" ref="E69:E94" si="2">TRUNC(+D69*3.3058,-1)</f>
        <v>15400</v>
      </c>
    </row>
    <row r="70" spans="1:7" ht="16.5" customHeight="1" x14ac:dyDescent="0.3">
      <c r="A70" s="2">
        <v>2</v>
      </c>
      <c r="C70" s="38" t="s">
        <v>31</v>
      </c>
      <c r="D70" s="42">
        <f>TRUNC(1457,-1)</f>
        <v>1450</v>
      </c>
      <c r="E70" s="63">
        <f t="shared" si="2"/>
        <v>4790</v>
      </c>
    </row>
    <row r="71" spans="1:7" x14ac:dyDescent="0.3">
      <c r="A71" s="2">
        <v>3</v>
      </c>
      <c r="C71" s="38" t="s">
        <v>32</v>
      </c>
      <c r="D71" s="42">
        <f>TRUNC(7921,-1)</f>
        <v>7920</v>
      </c>
      <c r="E71" s="63">
        <f t="shared" si="2"/>
        <v>26180</v>
      </c>
    </row>
    <row r="72" spans="1:7" x14ac:dyDescent="0.3">
      <c r="A72" s="2">
        <v>4</v>
      </c>
      <c r="C72" s="38" t="s">
        <v>33</v>
      </c>
      <c r="D72" s="42">
        <f>TRUNC(5123,-1)</f>
        <v>5120</v>
      </c>
      <c r="E72" s="63">
        <f t="shared" si="2"/>
        <v>16920</v>
      </c>
    </row>
    <row r="73" spans="1:7" x14ac:dyDescent="0.3">
      <c r="A73" s="2">
        <v>5</v>
      </c>
      <c r="C73" s="38" t="s">
        <v>34</v>
      </c>
      <c r="D73" s="42">
        <f>TRUNC(9801,-1)</f>
        <v>9800</v>
      </c>
      <c r="E73" s="63">
        <f t="shared" si="2"/>
        <v>32390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TRUNC(96,-1)</f>
        <v>90</v>
      </c>
      <c r="E75" s="63">
        <f t="shared" si="2"/>
        <v>290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TRUNC(5273,-1)</f>
        <v>5270</v>
      </c>
      <c r="E89" s="63">
        <f t="shared" si="2"/>
        <v>17420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TRUNC(5076,-1)</f>
        <v>5070</v>
      </c>
      <c r="E91" s="63">
        <f t="shared" si="2"/>
        <v>16760</v>
      </c>
    </row>
    <row r="92" spans="1:7" x14ac:dyDescent="0.3">
      <c r="A92" s="2">
        <v>24</v>
      </c>
      <c r="C92" s="38" t="s">
        <v>38</v>
      </c>
      <c r="D92" s="42">
        <f>TRUNC(7558,-1)</f>
        <v>7550</v>
      </c>
      <c r="E92" s="63">
        <f t="shared" si="2"/>
        <v>24950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TRUNC(247+1062,-1)</f>
        <v>1300</v>
      </c>
      <c r="E94" s="64">
        <f t="shared" si="2"/>
        <v>4290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48230</v>
      </c>
      <c r="E95" s="39">
        <f>SUM(E69:E94)</f>
        <v>159390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TRUNC(8318,-1)</f>
        <v>8310</v>
      </c>
      <c r="E98" s="62">
        <f t="shared" ref="E98:E118" si="3">TRUNC(+D98*3.3058,-1)</f>
        <v>27470</v>
      </c>
    </row>
    <row r="99" spans="1:7" x14ac:dyDescent="0.3">
      <c r="A99" s="2">
        <v>2</v>
      </c>
      <c r="C99" s="38" t="s">
        <v>40</v>
      </c>
      <c r="D99" s="42">
        <f>TRUNC(5206,-1)</f>
        <v>5200</v>
      </c>
      <c r="E99" s="63">
        <f t="shared" si="3"/>
        <v>17190</v>
      </c>
    </row>
    <row r="100" spans="1:7" x14ac:dyDescent="0.3">
      <c r="A100" s="2">
        <v>3</v>
      </c>
      <c r="C100" s="38" t="s">
        <v>41</v>
      </c>
      <c r="D100" s="42">
        <f>TRUNC(19975,-1)</f>
        <v>19970</v>
      </c>
      <c r="E100" s="63">
        <f t="shared" si="3"/>
        <v>66010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TRUNC(10967,-1)</f>
        <v>10960</v>
      </c>
      <c r="E102" s="63">
        <f t="shared" si="3"/>
        <v>36230</v>
      </c>
    </row>
    <row r="103" spans="1:7" x14ac:dyDescent="0.3">
      <c r="A103" s="2">
        <v>6</v>
      </c>
      <c r="C103" s="38" t="s">
        <v>44</v>
      </c>
      <c r="D103" s="42">
        <f>TRUNC(4401,-1)</f>
        <v>4400</v>
      </c>
      <c r="E103" s="63">
        <f t="shared" si="3"/>
        <v>14540</v>
      </c>
    </row>
    <row r="104" spans="1:7" x14ac:dyDescent="0.3">
      <c r="A104" s="2">
        <v>7</v>
      </c>
      <c r="C104" s="38" t="s">
        <v>45</v>
      </c>
      <c r="D104" s="42">
        <f>TRUNC(4339,-1)</f>
        <v>4330</v>
      </c>
      <c r="E104" s="63">
        <f t="shared" si="3"/>
        <v>14310</v>
      </c>
    </row>
    <row r="105" spans="1:7" x14ac:dyDescent="0.3">
      <c r="A105" s="2">
        <v>8</v>
      </c>
      <c r="C105" s="38" t="s">
        <v>46</v>
      </c>
      <c r="D105" s="42">
        <v>2830</v>
      </c>
      <c r="E105" s="63">
        <f t="shared" si="3"/>
        <v>9350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TRUNC(1994,-1)</f>
        <v>1990</v>
      </c>
      <c r="E114" s="63">
        <f t="shared" si="3"/>
        <v>6570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TRUNC(2157,-1)</f>
        <v>2150</v>
      </c>
      <c r="E116" s="63">
        <f t="shared" si="3"/>
        <v>7100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TRUNC(76827,-1)</f>
        <v>76820</v>
      </c>
      <c r="E117" s="63">
        <f t="shared" si="3"/>
        <v>253950</v>
      </c>
    </row>
    <row r="118" spans="1:7" ht="17.25" thickBot="1" x14ac:dyDescent="0.35">
      <c r="A118" s="2">
        <v>21</v>
      </c>
      <c r="C118" s="38" t="s">
        <v>47</v>
      </c>
      <c r="D118" s="43">
        <f>TRUNC(1315,-1)</f>
        <v>1310</v>
      </c>
      <c r="E118" s="64">
        <f t="shared" si="3"/>
        <v>4330</v>
      </c>
    </row>
    <row r="119" spans="1:7" x14ac:dyDescent="0.3">
      <c r="A119" s="2">
        <v>22</v>
      </c>
      <c r="C119" s="27" t="s">
        <v>112</v>
      </c>
      <c r="D119" s="39">
        <f>SUM(D98:D118)</f>
        <v>138270</v>
      </c>
      <c r="E119" s="39">
        <f>SUM(E98:E118)</f>
        <v>457050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4220</v>
      </c>
      <c r="E122" s="62">
        <f t="shared" ref="E122:E132" si="4">TRUNC(+D122*3.3058,-1)</f>
        <v>13950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TRUNC(1069,-1)</f>
        <v>1060</v>
      </c>
      <c r="E124" s="63">
        <f t="shared" si="4"/>
        <v>3500</v>
      </c>
    </row>
    <row r="125" spans="1:7" x14ac:dyDescent="0.3">
      <c r="A125" s="2">
        <v>4</v>
      </c>
      <c r="C125" s="38" t="s">
        <v>138</v>
      </c>
      <c r="D125" s="42">
        <f>TRUNC(5209,-1)</f>
        <v>5200</v>
      </c>
      <c r="E125" s="63">
        <f t="shared" si="4"/>
        <v>17190</v>
      </c>
    </row>
    <row r="126" spans="1:7" x14ac:dyDescent="0.3">
      <c r="A126" s="2">
        <v>5</v>
      </c>
      <c r="C126" s="38" t="s">
        <v>53</v>
      </c>
      <c r="D126" s="42">
        <f>TRUNC(3325,-1)</f>
        <v>3320</v>
      </c>
      <c r="E126" s="63">
        <f t="shared" si="4"/>
        <v>10970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TRUNC(5919,-1)</f>
        <v>5910</v>
      </c>
      <c r="E128" s="63">
        <f t="shared" si="4"/>
        <v>19530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10580</v>
      </c>
      <c r="E130" s="63">
        <f t="shared" si="4"/>
        <v>34970</v>
      </c>
    </row>
    <row r="131" spans="1:7" x14ac:dyDescent="0.3">
      <c r="A131" s="2">
        <v>10</v>
      </c>
      <c r="C131" s="38" t="s">
        <v>149</v>
      </c>
      <c r="D131" s="42">
        <f>TRUNC(32847,-1)</f>
        <v>32840</v>
      </c>
      <c r="E131" s="63">
        <f t="shared" si="4"/>
        <v>108560</v>
      </c>
    </row>
    <row r="132" spans="1:7" ht="18" thickBot="1" x14ac:dyDescent="0.35">
      <c r="A132" s="2">
        <v>11</v>
      </c>
      <c r="C132" s="38" t="s">
        <v>47</v>
      </c>
      <c r="D132" s="43">
        <f>TRUNC(686+2230,-1)</f>
        <v>2910</v>
      </c>
      <c r="E132" s="64">
        <f t="shared" si="4"/>
        <v>9610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66040</v>
      </c>
      <c r="E133" s="39">
        <f>SUM(E122:E132)</f>
        <v>218280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TRUNC(14515,-1)</f>
        <v>14510</v>
      </c>
      <c r="E137" s="63">
        <f t="shared" si="5"/>
        <v>47960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TRUNC(4493,-1)</f>
        <v>4490</v>
      </c>
      <c r="E143" s="63">
        <f t="shared" si="5"/>
        <v>14840</v>
      </c>
    </row>
    <row r="144" spans="1:7" x14ac:dyDescent="0.3">
      <c r="A144" s="2">
        <v>9</v>
      </c>
      <c r="C144" s="38" t="s">
        <v>63</v>
      </c>
      <c r="D144" s="42">
        <f>TRUNC(13879,-1)</f>
        <v>13870</v>
      </c>
      <c r="E144" s="63">
        <f t="shared" si="5"/>
        <v>45850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32870</v>
      </c>
      <c r="E146" s="39">
        <f>SUM(E136:E145)</f>
        <v>108650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TRUNC(10622+2157,-1)</f>
        <v>12770</v>
      </c>
      <c r="E149" s="62">
        <f>TRUNC(+D149*3.3058,-1)</f>
        <v>42210</v>
      </c>
    </row>
    <row r="150" spans="1:7" x14ac:dyDescent="0.3">
      <c r="A150" s="2">
        <v>2</v>
      </c>
      <c r="C150" s="38" t="s">
        <v>49</v>
      </c>
      <c r="D150" s="42">
        <f>TRUNC(16337,-1)</f>
        <v>16330</v>
      </c>
      <c r="E150" s="63">
        <f>TRUNC(+D150*3.3058,-1)</f>
        <v>53980</v>
      </c>
    </row>
    <row r="151" spans="1:7" x14ac:dyDescent="0.3">
      <c r="A151" s="2">
        <v>3</v>
      </c>
      <c r="C151" s="38" t="s">
        <v>50</v>
      </c>
      <c r="D151" s="42">
        <f>TRUNC(8919,-1)</f>
        <v>8910</v>
      </c>
      <c r="E151" s="63">
        <f>TRUNC(+D151*3.3058,-1)</f>
        <v>29450</v>
      </c>
    </row>
    <row r="152" spans="1:7" x14ac:dyDescent="0.3">
      <c r="A152" s="2">
        <v>4</v>
      </c>
      <c r="C152" s="38" t="s">
        <v>47</v>
      </c>
      <c r="D152" s="42">
        <f>21-11</f>
        <v>10</v>
      </c>
      <c r="E152" s="63">
        <f>TRUNC(+D152*3.3058,-1)</f>
        <v>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38020</v>
      </c>
      <c r="E154" s="39">
        <f>SUM(E149:E153)</f>
        <v>125670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TRUNC(15777,-1)</f>
        <v>15770</v>
      </c>
      <c r="E157" s="62">
        <f>TRUNC(+D157*3.3058,-1)</f>
        <v>52130</v>
      </c>
    </row>
    <row r="158" spans="1:7" x14ac:dyDescent="0.3">
      <c r="A158" s="2">
        <v>2</v>
      </c>
      <c r="C158" s="38" t="s">
        <v>52</v>
      </c>
      <c r="D158" s="42">
        <f>TRUNC(4605,-1)</f>
        <v>4600</v>
      </c>
      <c r="E158" s="63">
        <f>TRUNC(+D158*3.3058,-1)</f>
        <v>15200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20370</v>
      </c>
      <c r="E161" s="39">
        <f>SUM(E157:E160)</f>
        <v>67330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2020-12-08T01:16:51Z</dcterms:modified>
</cp:coreProperties>
</file>