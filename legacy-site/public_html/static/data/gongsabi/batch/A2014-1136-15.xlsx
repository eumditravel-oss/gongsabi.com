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6" i="4"/>
  <c r="E131" i="4"/>
  <c r="E129" i="4"/>
  <c r="E128" i="4"/>
  <c r="E126" i="4"/>
  <c r="E123" i="4"/>
  <c r="E117" i="4"/>
  <c r="E116" i="4"/>
  <c r="E114" i="4"/>
  <c r="E113" i="4"/>
  <c r="E112" i="4"/>
  <c r="E111" i="4"/>
  <c r="E110" i="4"/>
  <c r="E109" i="4"/>
  <c r="E108" i="4"/>
  <c r="E107" i="4"/>
  <c r="E106" i="4"/>
  <c r="E103" i="4"/>
  <c r="E93" i="4"/>
  <c r="E91" i="4"/>
  <c r="E89" i="4"/>
  <c r="E88" i="4"/>
  <c r="E87" i="4"/>
  <c r="E84" i="4"/>
  <c r="E83" i="4"/>
  <c r="E82" i="4"/>
  <c r="E81" i="4"/>
  <c r="E80" i="4"/>
  <c r="E79" i="4"/>
  <c r="E76" i="4"/>
  <c r="E74" i="4"/>
  <c r="E73" i="4"/>
  <c r="E72" i="4"/>
  <c r="E65" i="4"/>
  <c r="E64" i="4"/>
  <c r="E66" i="4" s="1"/>
  <c r="E63" i="4"/>
  <c r="E59" i="4"/>
  <c r="E57" i="4"/>
  <c r="E56" i="4"/>
  <c r="E54" i="4"/>
  <c r="E47" i="4"/>
  <c r="E37" i="4"/>
  <c r="E161" i="4" l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94" i="4"/>
  <c r="E94" i="4" s="1"/>
  <c r="D92" i="4"/>
  <c r="E92" i="4" s="1"/>
  <c r="D90" i="4"/>
  <c r="E90" i="4" s="1"/>
  <c r="D86" i="4"/>
  <c r="E86" i="4" s="1"/>
  <c r="D85" i="4"/>
  <c r="E85" i="4" s="1"/>
  <c r="D78" i="4"/>
  <c r="E78" i="4" s="1"/>
  <c r="D77" i="4"/>
  <c r="E77" i="4" s="1"/>
  <c r="D75" i="4"/>
  <c r="E75" i="4" s="1"/>
  <c r="D71" i="4"/>
  <c r="E71" i="4" s="1"/>
  <c r="D70" i="4"/>
  <c r="E70" i="4" s="1"/>
  <c r="D69" i="4"/>
  <c r="E69" i="4" s="1"/>
  <c r="D118" i="4"/>
  <c r="E118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115" i="4"/>
  <c r="E115" i="4" s="1"/>
  <c r="D132" i="4"/>
  <c r="E132" i="4" s="1"/>
  <c r="D130" i="4"/>
  <c r="E130" i="4" s="1"/>
  <c r="D127" i="4"/>
  <c r="E127" i="4" s="1"/>
  <c r="D125" i="4"/>
  <c r="E125" i="4" s="1"/>
  <c r="D124" i="4"/>
  <c r="E124" i="4" s="1"/>
  <c r="D122" i="4"/>
  <c r="E122" i="4" s="1"/>
  <c r="E133" i="4" s="1"/>
  <c r="D137" i="4"/>
  <c r="E137" i="4" s="1"/>
  <c r="E146" i="4" s="1"/>
  <c r="D152" i="4"/>
  <c r="E152" i="4" s="1"/>
  <c r="E154" i="4" s="1"/>
  <c r="D159" i="4"/>
  <c r="E159" i="4" s="1"/>
  <c r="E119" i="4" l="1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<sst xmlns="http://schemas.openxmlformats.org/spreadsheetml/2006/main" count="388" uniqueCount="263">
  <si>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</si>
  <si>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</si>
  <si>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</si>
  <si>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</si>
  <si>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</si>
  <si>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</si>
  <si>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</si>
  <si>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</si>
  <si>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</si>
  <si>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</si>
  <si>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</si>
  <si>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</si>
  <si>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</si>
  <si>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</si>
  <si>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</si>
  <si>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</si>
  <si>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</si>
  <si>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</si>
  <si>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</si>
  <si>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</si>
  <si>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</si>
  <si>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</si>
  <si>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</si>
  <si>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</si>
  <si>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</si>
  <si>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</si>
  <si>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</si>
  <si>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</si>
  <si>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</si>
  <si>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</si>
  <si>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</si>
  <si>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</si>
  <si>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</si>
  <si>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</si>
  <si>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</si>
  <si>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</si>
  <si>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</si>
  <si>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</si>
  <si>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</si>
  <si>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</si>
  <si>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</si>
  <si>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</si>
  <si>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</si>
  <si>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</si>
  <si>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</si>
  <si>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</si>
  <si>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</si>
  <si>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</si>
  <si>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</si>
  <si>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</si>
  <si>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</si>
  <si>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</si>
  <si>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</si>
  <si>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</si>
  <si>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</si>
  <si>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</si>
  <si>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</si>
  <si>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</si>
  <si>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</si>
  <si>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</si>
  <si>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</si>
  <si>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</si>
  <si>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</si>
  <si>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</si>
  <si>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</si>
  <si>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</si>
  <si>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</si>
  <si>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</si>
  <si>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</si>
  <si>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</si>
  <si>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</si>
  <si>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</si>
  <si>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</si>
  <si>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</si>
  <si>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</si>
  <si>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</si>
  <si>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</si>
  <si>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</si>
  <si>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</si>
  <si>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</si>
  <si>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</si>
  <si>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</si>
  <si>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</si>
  <si>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</si>
  <si>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</si>
  <si>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</si>
  <si>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</si>
  <si>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</si>
  <si>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</si>
  <si>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</si>
  <si>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</si>
  <si>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</si>
  <si>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</si>
  <si>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</si>
  <si>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</si>
  <si>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</si>
  <si>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</si>
  <si>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</si>
  <si>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</si>
  <si>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</si>
  <si>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</si>
  <si>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</si>
  <si>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</si>
  <si>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</si>
  <si>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</si>
  <si>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</si>
  <si>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</si>
  <si>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</si>
  <si>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</si>
  <si>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</si>
  <si>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</si>
  <si>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</si>
  <si>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</si>
  <si>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</si>
  <si>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</si>
  <si>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</si>
  <si>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</si>
  <si>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</si>
  <si>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</si>
  <si>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</si>
  <si>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</si>
  <si>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</si>
  <si>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</si>
  <si>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</si>
  <si>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</si>
  <si>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</si>
  <si>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</si>
  <si>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</si>
  <si>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</si>
  <si>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</si>
  <si>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</si>
  <si>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</si>
  <si>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</si>
  <si>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</si>
  <si>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</si>
  <si>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</si>
  <si>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</si>
  <si>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</si>
  <si>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</si>
  <si>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</si>
  <si>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</si>
  <si>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</si>
  <si>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</si>
  <si>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</si>
  <si>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</si>
  <si>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</si>
  <si>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</si>
  <si>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</si>
  <si>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</si>
  <si>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</si>
  <si>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</si>
  <si>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</si>
  <si>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</si>
  <si>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</si>
  <si>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</si>
  <si>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</si>
  <si>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</si>
  <si>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</si>
  <si>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</si>
  <si>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</si>
  <si>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</si>
  <si>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</si>
  <si>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</si>
  <si>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</si>
  <si>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</si>
  <si>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</si>
  <si>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</si>
  <si>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</si>
  <si>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</si>
  <si>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</si>
  <si>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</si>
  <si>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</si>
  <si>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</si>
  <si>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</si>
  <si>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</si>
  <si>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</si>
  <si>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</si>
  <si>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</si>
  <si>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</si>
  <si>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</si>
  <si>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</si>
  <si>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</si>
  <si>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</si>
  <si>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</si>
  <si>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</si>
  <si>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</si>
  <si>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</si>
  <si>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</si>
  <si>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</si>
  <si>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</si>
  <si>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</si>
  <si>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</si>
  <si>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</si>
  <si>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</si>
  <si>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</si>
  <si>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</si>
  <si>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</si>
  <si>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</si>
  <si>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</si>
  <si>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</si>
  <si>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</si>
  <si>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</si>
  <si>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</si>
  <si>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</si>
  <si>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</si>
  <si>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</si>
  <si>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</si>
  <si>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</si>
  <si>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</si>
  <si>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</si>
  <si>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</si>
  <si>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</si>
  <si>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</si>
  <si>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</si>
  <si>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</si>
  <si>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</si>
  <si>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</si>
  <si>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</si>
  <si>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</si>
  <si>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</si>
  <si>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</si>
  <si>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</si>
  <si>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</si>
  <si>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</si>
  <si>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</si>
  <si>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</si>
  <si>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</si>
  <si>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</si>
  <si>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</si>
  <si>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</si>
  <si>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</si>
  <si>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</si>
  <si>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</si>
  <si>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</si>
  <si>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</si>
  <si>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</si>
  <si>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</si>
  <si>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</si>
  <si>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</si>
  <si>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</si>
  <si>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</si>
  <si>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</si>
  <si>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</si>
  <si>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</si>
  <si>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</si>
  <si>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</si>
  <si>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</si>
  <si>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</si>
  <si>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0000기술지원센터 건립공사</t>
    <phoneticPr fontId="2" type="noConversion"/>
  </si>
  <si>
    <t>교육연구</t>
  </si>
  <si>
    <t>대구시</t>
  </si>
  <si>
    <t>CCTV설비공사,원격검침설비공사,주차관제설비공사</t>
    <phoneticPr fontId="2" type="noConversion"/>
  </si>
  <si>
    <t>조명제어설비공사,경관조명설비공사</t>
    <phoneticPr fontId="2" type="noConversion"/>
  </si>
  <si>
    <t>무대설비공사,외등설비공사</t>
    <phoneticPr fontId="2" type="noConversion"/>
  </si>
  <si>
    <t>위생설비공사</t>
    <phoneticPr fontId="2" type="noConversion"/>
  </si>
  <si>
    <t>공조배관공사,에어배관공사,전열교환기설치공사,씽크대설치공사,초절전온수방열관난방공사</t>
    <phoneticPr fontId="2" type="noConversion"/>
  </si>
  <si>
    <t>홈통공사</t>
    <phoneticPr fontId="2" type="noConversion"/>
  </si>
  <si>
    <t>기타공사,골재비.운반비,품질시험비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</si>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</sst>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F7" sqref="F7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8679</v>
      </c>
      <c r="D7" s="36">
        <f>+C7/3.3058</f>
        <v>2625.3856857644141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586030</v>
      </c>
      <c r="E25" s="59">
        <f t="shared" si="0"/>
        <v>1937290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194150</v>
      </c>
      <c r="E27" s="59">
        <f t="shared" si="0"/>
        <v>641820</v>
      </c>
    </row>
    <row r="28" spans="1:5" x14ac:dyDescent="0.3">
      <c r="B28" s="2">
        <v>5</v>
      </c>
      <c r="C28" s="35" t="s">
        <v>97</v>
      </c>
      <c r="D28" s="45">
        <f>+D119</f>
        <v>129040</v>
      </c>
      <c r="E28" s="59">
        <f t="shared" si="0"/>
        <v>426580</v>
      </c>
    </row>
    <row r="29" spans="1:5" x14ac:dyDescent="0.3">
      <c r="B29" s="2">
        <v>6</v>
      </c>
      <c r="C29" s="35" t="s">
        <v>98</v>
      </c>
      <c r="D29" s="45">
        <f>+D133</f>
        <v>111590</v>
      </c>
      <c r="E29" s="59">
        <f t="shared" si="0"/>
        <v>368890</v>
      </c>
    </row>
    <row r="30" spans="1:5" x14ac:dyDescent="0.3">
      <c r="B30" s="2">
        <v>7</v>
      </c>
      <c r="C30" s="35" t="s">
        <v>99</v>
      </c>
      <c r="D30" s="45">
        <f>+D146</f>
        <v>44500</v>
      </c>
      <c r="E30" s="59">
        <f t="shared" si="0"/>
        <v>147100</v>
      </c>
    </row>
    <row r="31" spans="1:5" x14ac:dyDescent="0.3">
      <c r="B31" s="2">
        <v>8</v>
      </c>
      <c r="C31" s="35" t="s">
        <v>100</v>
      </c>
      <c r="D31" s="45">
        <f>+D154</f>
        <v>79590</v>
      </c>
      <c r="E31" s="59">
        <f t="shared" si="0"/>
        <v>263100</v>
      </c>
    </row>
    <row r="32" spans="1:5" x14ac:dyDescent="0.3">
      <c r="B32" s="2">
        <v>9</v>
      </c>
      <c r="C32" s="35" t="s">
        <v>101</v>
      </c>
      <c r="D32" s="45">
        <f>+D161</f>
        <v>14040</v>
      </c>
      <c r="E32" s="59">
        <f t="shared" si="0"/>
        <v>46410</v>
      </c>
    </row>
    <row r="33" spans="1:7" x14ac:dyDescent="0.3">
      <c r="B33" s="2">
        <v>10</v>
      </c>
      <c r="C33" s="35" t="s">
        <v>153</v>
      </c>
      <c r="D33" s="53">
        <f>TRUNC(SUM(D24:D32)*0.275,-1)</f>
        <v>318700</v>
      </c>
      <c r="E33" s="60">
        <f t="shared" si="0"/>
        <v>1053550</v>
      </c>
    </row>
    <row r="34" spans="1:7" x14ac:dyDescent="0.3">
      <c r="C34" s="35" t="s">
        <v>112</v>
      </c>
      <c r="D34" s="44">
        <f>SUM(D24:D33)</f>
        <v>1477640</v>
      </c>
      <c r="E34" s="44">
        <f>SUM(E24:E33)</f>
        <v>4884740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TRUNC(43326,-1)</f>
        <v>43320</v>
      </c>
      <c r="E40" s="62">
        <f t="shared" ref="E40:E59" si="1">TRUNC(+D40*3.3058,-1)</f>
        <v>143200</v>
      </c>
    </row>
    <row r="41" spans="1:7" x14ac:dyDescent="0.3">
      <c r="A41" s="2">
        <v>2</v>
      </c>
      <c r="C41" s="38" t="s">
        <v>13</v>
      </c>
      <c r="D41" s="42">
        <f>TRUNC(157154,-1)</f>
        <v>157150</v>
      </c>
      <c r="E41" s="63">
        <f t="shared" si="1"/>
        <v>519500</v>
      </c>
    </row>
    <row r="42" spans="1:7" x14ac:dyDescent="0.3">
      <c r="A42" s="2">
        <v>3</v>
      </c>
      <c r="C42" s="38" t="s">
        <v>14</v>
      </c>
      <c r="D42" s="42">
        <f>TRUNC(907,-1)</f>
        <v>900</v>
      </c>
      <c r="E42" s="63">
        <f t="shared" si="1"/>
        <v>2970</v>
      </c>
    </row>
    <row r="43" spans="1:7" x14ac:dyDescent="0.3">
      <c r="A43" s="2">
        <v>4</v>
      </c>
      <c r="C43" s="38" t="s">
        <v>16</v>
      </c>
      <c r="D43" s="42">
        <f>TRUNC(9634,-1)</f>
        <v>9630</v>
      </c>
      <c r="E43" s="63">
        <f t="shared" si="1"/>
        <v>31830</v>
      </c>
    </row>
    <row r="44" spans="1:7" x14ac:dyDescent="0.3">
      <c r="A44" s="2">
        <v>5</v>
      </c>
      <c r="C44" s="38" t="s">
        <v>17</v>
      </c>
      <c r="D44" s="42">
        <f>TRUNC(32542,-1)</f>
        <v>32540</v>
      </c>
      <c r="E44" s="63">
        <f t="shared" si="1"/>
        <v>107570</v>
      </c>
    </row>
    <row r="45" spans="1:7" x14ac:dyDescent="0.3">
      <c r="A45" s="2">
        <v>6</v>
      </c>
      <c r="C45" s="38" t="s">
        <v>18</v>
      </c>
      <c r="D45" s="42">
        <f>TRUNC(7739,-1)</f>
        <v>7730</v>
      </c>
      <c r="E45" s="63">
        <f t="shared" si="1"/>
        <v>25550</v>
      </c>
    </row>
    <row r="46" spans="1:7" x14ac:dyDescent="0.3">
      <c r="A46" s="2">
        <v>7</v>
      </c>
      <c r="C46" s="38" t="s">
        <v>19</v>
      </c>
      <c r="D46" s="42">
        <f>TRUNC(27314,-1)</f>
        <v>27310</v>
      </c>
      <c r="E46" s="63">
        <f t="shared" si="1"/>
        <v>90280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TRUNC(123025,-1)</f>
        <v>123020</v>
      </c>
      <c r="E48" s="63">
        <f t="shared" si="1"/>
        <v>406670</v>
      </c>
    </row>
    <row r="49" spans="1:7" x14ac:dyDescent="0.3">
      <c r="A49" s="2">
        <v>10</v>
      </c>
      <c r="C49" s="38" t="s">
        <v>22</v>
      </c>
      <c r="D49" s="42">
        <f>TRUNC(34191,-1)</f>
        <v>34190</v>
      </c>
      <c r="E49" s="63">
        <f t="shared" si="1"/>
        <v>113020</v>
      </c>
    </row>
    <row r="50" spans="1:7" x14ac:dyDescent="0.3">
      <c r="A50" s="2">
        <v>11</v>
      </c>
      <c r="C50" s="38" t="s">
        <v>154</v>
      </c>
      <c r="D50" s="42">
        <f>TRUNC(31393,-1)</f>
        <v>31390</v>
      </c>
      <c r="E50" s="63">
        <f t="shared" si="1"/>
        <v>103760</v>
      </c>
    </row>
    <row r="51" spans="1:7" x14ac:dyDescent="0.3">
      <c r="A51" s="2">
        <v>12</v>
      </c>
      <c r="C51" s="38" t="s">
        <v>23</v>
      </c>
      <c r="D51" s="42">
        <f>TRUNC(30977,-1)</f>
        <v>30970</v>
      </c>
      <c r="E51" s="63">
        <f t="shared" si="1"/>
        <v>102380</v>
      </c>
    </row>
    <row r="52" spans="1:7" x14ac:dyDescent="0.3">
      <c r="A52" s="2">
        <v>13</v>
      </c>
      <c r="C52" s="38" t="s">
        <v>24</v>
      </c>
      <c r="D52" s="42">
        <f>TRUNC(17352,-1)</f>
        <v>17350</v>
      </c>
      <c r="E52" s="63">
        <f t="shared" si="1"/>
        <v>57350</v>
      </c>
    </row>
    <row r="53" spans="1:7" x14ac:dyDescent="0.3">
      <c r="A53" s="2">
        <v>14</v>
      </c>
      <c r="C53" s="38" t="s">
        <v>25</v>
      </c>
      <c r="D53" s="42">
        <f>TRUNC(51214,-1)</f>
        <v>51210</v>
      </c>
      <c r="E53" s="63">
        <f t="shared" si="1"/>
        <v>169290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TRUNC(1417,-1)</f>
        <v>1410</v>
      </c>
      <c r="E55" s="63">
        <f t="shared" si="1"/>
        <v>4660</v>
      </c>
      <c r="F55" s="2" t="s">
        <v>256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TRUNC(13657+3381+398+479,-1)</f>
        <v>17910</v>
      </c>
      <c r="E58" s="63">
        <f t="shared" si="1"/>
        <v>59200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586030</v>
      </c>
      <c r="E60" s="39">
        <f>SUM(E40:E59)</f>
        <v>1937230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TRUNC(45823,-1)</f>
        <v>45820</v>
      </c>
      <c r="E69" s="62">
        <f t="shared" ref="E69:E94" si="2">TRUNC(+D69*3.3058,-1)</f>
        <v>151470</v>
      </c>
    </row>
    <row r="70" spans="1:7" ht="16.5" customHeight="1" x14ac:dyDescent="0.3">
      <c r="A70" s="2">
        <v>2</v>
      </c>
      <c r="C70" s="38" t="s">
        <v>31</v>
      </c>
      <c r="D70" s="42">
        <f>TRUNC(2725,-1)</f>
        <v>2720</v>
      </c>
      <c r="E70" s="63">
        <f t="shared" si="2"/>
        <v>8990</v>
      </c>
    </row>
    <row r="71" spans="1:7" x14ac:dyDescent="0.3">
      <c r="A71" s="2">
        <v>3</v>
      </c>
      <c r="C71" s="38" t="s">
        <v>32</v>
      </c>
      <c r="D71" s="42">
        <f>TRUNC(27326,-1)</f>
        <v>27320</v>
      </c>
      <c r="E71" s="63">
        <f t="shared" si="2"/>
        <v>90310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TRUNC(2352,-1)</f>
        <v>2350</v>
      </c>
      <c r="E75" s="63">
        <f t="shared" si="2"/>
        <v>7760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TRUNC(21431,-1)</f>
        <v>21430</v>
      </c>
      <c r="E77" s="63">
        <f t="shared" si="2"/>
        <v>70840</v>
      </c>
    </row>
    <row r="78" spans="1:7" x14ac:dyDescent="0.3">
      <c r="A78" s="2">
        <v>10</v>
      </c>
      <c r="C78" s="38" t="s">
        <v>137</v>
      </c>
      <c r="D78" s="42">
        <f>TRUNC(10586,-1)</f>
        <v>10580</v>
      </c>
      <c r="E78" s="63">
        <f t="shared" si="2"/>
        <v>34970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TRUNC(1065,-1)</f>
        <v>1060</v>
      </c>
      <c r="E85" s="63">
        <f t="shared" si="2"/>
        <v>3500</v>
      </c>
    </row>
    <row r="86" spans="1:7" x14ac:dyDescent="0.3">
      <c r="A86" s="2">
        <v>18</v>
      </c>
      <c r="C86" s="38" t="s">
        <v>141</v>
      </c>
      <c r="D86" s="42">
        <f>TRUNC(1465,-1)</f>
        <v>1460</v>
      </c>
      <c r="E86" s="63">
        <f t="shared" si="2"/>
        <v>4820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TRUNC(2112,-1)</f>
        <v>2110</v>
      </c>
      <c r="E90" s="63">
        <f t="shared" si="2"/>
        <v>6970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TRUNC(18812,-1)</f>
        <v>18810</v>
      </c>
      <c r="E92" s="63">
        <f t="shared" si="2"/>
        <v>62180</v>
      </c>
      <c r="F92" s="2" t="s">
        <v>254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TRUNC(56259+746+2389+506+591,-1)</f>
        <v>60490</v>
      </c>
      <c r="E94" s="64">
        <f t="shared" si="2"/>
        <v>199960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194150</v>
      </c>
      <c r="E95" s="39">
        <f>SUM(E69:E94)</f>
        <v>641770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TRUNC(24704,-1)</f>
        <v>24700</v>
      </c>
      <c r="E98" s="62">
        <f t="shared" ref="E98:E118" si="3">TRUNC(+D98*3.3058,-1)</f>
        <v>81650</v>
      </c>
    </row>
    <row r="99" spans="1:7" x14ac:dyDescent="0.3">
      <c r="A99" s="2">
        <v>2</v>
      </c>
      <c r="C99" s="38" t="s">
        <v>40</v>
      </c>
      <c r="D99" s="42">
        <f>TRUNC(7582,-1)</f>
        <v>7580</v>
      </c>
      <c r="E99" s="63">
        <f t="shared" si="3"/>
        <v>25050</v>
      </c>
    </row>
    <row r="100" spans="1:7" x14ac:dyDescent="0.3">
      <c r="A100" s="2">
        <v>3</v>
      </c>
      <c r="C100" s="38" t="s">
        <v>41</v>
      </c>
      <c r="D100" s="42">
        <f>TRUNC(30483,-1)</f>
        <v>30480</v>
      </c>
      <c r="E100" s="63">
        <f t="shared" si="3"/>
        <v>100760</v>
      </c>
    </row>
    <row r="101" spans="1:7" x14ac:dyDescent="0.3">
      <c r="A101" s="2">
        <v>4</v>
      </c>
      <c r="C101" s="38" t="s">
        <v>42</v>
      </c>
      <c r="D101" s="42">
        <f>TRUNC(1287+10783,-1)</f>
        <v>12070</v>
      </c>
      <c r="E101" s="63">
        <f t="shared" si="3"/>
        <v>39900</v>
      </c>
      <c r="F101" s="2" t="s">
        <v>252</v>
      </c>
    </row>
    <row r="102" spans="1:7" x14ac:dyDescent="0.3">
      <c r="A102" s="2">
        <v>5</v>
      </c>
      <c r="C102" s="38" t="s">
        <v>43</v>
      </c>
      <c r="D102" s="42">
        <f>TRUNC(14626,-1)</f>
        <v>14620</v>
      </c>
      <c r="E102" s="63">
        <f t="shared" si="3"/>
        <v>48330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TRUNC(10285,-1)</f>
        <v>10280</v>
      </c>
      <c r="E104" s="63">
        <f t="shared" si="3"/>
        <v>33980</v>
      </c>
    </row>
    <row r="105" spans="1:7" x14ac:dyDescent="0.3">
      <c r="A105" s="2">
        <v>8</v>
      </c>
      <c r="C105" s="38" t="s">
        <v>46</v>
      </c>
      <c r="D105" s="42">
        <f>TRUNC(8698,-1)</f>
        <v>8690</v>
      </c>
      <c r="E105" s="63">
        <f t="shared" si="3"/>
        <v>28720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TRUNC(14671,-1)</f>
        <v>14670</v>
      </c>
      <c r="E115" s="63">
        <f t="shared" si="3"/>
        <v>48490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TRUNC(2199+3758,-1)</f>
        <v>5950</v>
      </c>
      <c r="E118" s="64">
        <f t="shared" si="3"/>
        <v>19660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129040</v>
      </c>
      <c r="E119" s="39">
        <f>SUM(E98:E118)</f>
        <v>426540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TRUNC(8625,-1)</f>
        <v>8620</v>
      </c>
      <c r="E122" s="62">
        <f t="shared" ref="E122:E132" si="4">TRUNC(+D122*3.3058,-1)</f>
        <v>28490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TRUNC(2102,-1)</f>
        <v>2100</v>
      </c>
      <c r="E124" s="63">
        <f t="shared" si="4"/>
        <v>6940</v>
      </c>
    </row>
    <row r="125" spans="1:7" x14ac:dyDescent="0.3">
      <c r="A125" s="2">
        <v>4</v>
      </c>
      <c r="C125" s="38" t="s">
        <v>138</v>
      </c>
      <c r="D125" s="42">
        <f>TRUNC(5760,-1)</f>
        <v>5760</v>
      </c>
      <c r="E125" s="63">
        <f t="shared" si="4"/>
        <v>19040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TRUNC(20624,-1)</f>
        <v>20620</v>
      </c>
      <c r="E127" s="63">
        <f t="shared" si="4"/>
        <v>68160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TRUNC(66731,-1)</f>
        <v>66730</v>
      </c>
      <c r="E130" s="63">
        <f t="shared" si="4"/>
        <v>220590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TRUNC(1863+3335+2569,-1)</f>
        <v>7760</v>
      </c>
      <c r="E132" s="64">
        <f t="shared" si="4"/>
        <v>25650</v>
      </c>
      <c r="F132" s="54" t="s">
        <v>251</v>
      </c>
    </row>
    <row r="133" spans="1:7" x14ac:dyDescent="0.3">
      <c r="A133" s="2">
        <v>12</v>
      </c>
      <c r="C133" s="27" t="s">
        <v>112</v>
      </c>
      <c r="D133" s="39">
        <f>SUM(D122:D132)</f>
        <v>111590</v>
      </c>
      <c r="E133" s="39">
        <f>SUM(E122:E132)</f>
        <v>368870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TRUNC(29151+15353,-1)</f>
        <v>44500</v>
      </c>
      <c r="E137" s="63">
        <f t="shared" si="5"/>
        <v>147100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44500</v>
      </c>
      <c r="E146" s="39">
        <f>SUM(E136:E145)</f>
        <v>147100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TRUNC(79592,-1)</f>
        <v>79590</v>
      </c>
      <c r="E152" s="63">
        <f>TRUNC(+D152*3.3058,-1)</f>
        <v>263100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79590</v>
      </c>
      <c r="E154" s="39">
        <f>SUM(E149:E153)</f>
        <v>263100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TRUNC(14048,-1)</f>
        <v>14040</v>
      </c>
      <c r="E159" s="63">
        <f>TRUNC(+D159*3.3058,-1)</f>
        <v>46410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14040</v>
      </c>
      <c r="E161" s="39">
        <f>SUM(E157:E160)</f>
        <v>46410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2020-12-07T09:42:38Z</dcterms:modified>
</cp:coreProperties>
</file>