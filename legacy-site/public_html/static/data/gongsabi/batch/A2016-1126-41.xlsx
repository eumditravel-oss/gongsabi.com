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39" i="4"/>
  <c r="D138" i="4"/>
  <c r="D137" i="4"/>
  <c r="D132" i="4"/>
  <c r="D130" i="4"/>
  <c r="D125" i="4"/>
  <c r="D122" i="4"/>
  <c r="D118" i="4"/>
  <c r="D117" i="4"/>
  <c r="D114" i="4"/>
  <c r="D105" i="4"/>
  <c r="D104" i="4"/>
  <c r="D103" i="4"/>
  <c r="D102" i="4"/>
  <c r="D100" i="4"/>
  <c r="D99" i="4"/>
  <c r="D98" i="4"/>
  <c r="D94" i="4"/>
  <c r="D92" i="4"/>
  <c r="D91" i="4"/>
  <c r="D89" i="4"/>
  <c r="D75" i="4"/>
  <c r="D73" i="4"/>
  <c r="D72" i="4"/>
  <c r="D69" i="4"/>
  <c r="D63" i="4"/>
  <c r="D59" i="4"/>
  <c r="D58" i="4"/>
  <c r="D53" i="4"/>
  <c r="D52" i="4"/>
  <c r="D50" i="4"/>
  <c r="D49" i="4"/>
  <c r="D46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<sst xmlns="http://schemas.openxmlformats.org/spreadsheetml/2006/main" count="392" uniqueCount="266">
  <si>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</si>
  <si>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</si>
  <si>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</si>
  <si>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</si>
  <si>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</si>
  <si>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</si>
  <si>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</si>
  <si>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</si>
  <si>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</si>
  <si>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</si>
  <si>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</si>
  <si>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</si>
  <si>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</si>
  <si>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</si>
  <si>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</si>
  <si>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</si>
  <si>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</si>
  <si>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</si>
  <si>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</si>
  <si>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</si>
  <si>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</si>
  <si>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</si>
  <si>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</si>
  <si>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</si>
  <si>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</si>
  <si>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</si>
  <si>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</si>
  <si>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</si>
  <si>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</si>
  <si>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</si>
  <si>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</si>
  <si>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</si>
  <si>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</si>
  <si>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</si>
  <si>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</si>
  <si>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</si>
  <si>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</si>
  <si>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</si>
  <si>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</si>
  <si>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</si>
  <si>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</si>
  <si>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</si>
  <si>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</si>
  <si>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</si>
  <si>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</si>
  <si>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</si>
  <si>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</si>
  <si>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</si>
  <si>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</si>
  <si>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</si>
  <si>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</si>
  <si>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</si>
  <si>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</si>
  <si>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</si>
  <si>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</si>
  <si>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</si>
  <si>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</si>
  <si>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</si>
  <si>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</si>
  <si>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</si>
  <si>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</si>
  <si>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</si>
  <si>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</si>
  <si>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</si>
  <si>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</si>
  <si>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</si>
  <si>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</si>
  <si>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</si>
  <si>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</si>
  <si>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</si>
  <si>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</si>
  <si>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</si>
  <si>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</si>
  <si>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</si>
  <si>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</si>
  <si>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</si>
  <si>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</si>
  <si>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</si>
  <si>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</si>
  <si>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</si>
  <si>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</si>
  <si>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</si>
  <si>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</si>
  <si>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</si>
  <si>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</si>
  <si>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</si>
  <si>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</si>
  <si>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</si>
  <si>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</si>
  <si>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</si>
  <si>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</si>
  <si>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</si>
  <si>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</si>
  <si>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</si>
  <si>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</si>
  <si>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</si>
  <si>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</si>
  <si>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</si>
  <si>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</si>
  <si>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</si>
  <si>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</si>
  <si>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</si>
  <si>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</si>
  <si>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</si>
  <si>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</si>
  <si>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</si>
  <si>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</si>
  <si>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</si>
  <si>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</si>
  <si>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</si>
  <si>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</si>
  <si>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</si>
  <si>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</si>
  <si>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</si>
  <si>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</si>
  <si>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</si>
  <si>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</si>
  <si>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</si>
  <si>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</si>
  <si>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</si>
  <si>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</si>
  <si>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</si>
  <si>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</si>
  <si>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</si>
  <si>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</si>
  <si>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</si>
  <si>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</si>
  <si>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</si>
  <si>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</si>
  <si>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</si>
  <si>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</si>
  <si>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</si>
  <si>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</si>
  <si>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</si>
  <si>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</si>
  <si>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</si>
  <si>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</si>
  <si>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</si>
  <si>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</si>
  <si>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</si>
  <si>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</si>
  <si>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</si>
  <si>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</si>
  <si>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</si>
  <si>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</si>
  <si>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</si>
  <si>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</si>
  <si>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</si>
  <si>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</si>
  <si>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</si>
  <si>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</si>
  <si>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</si>
  <si>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</si>
  <si>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</si>
  <si>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</si>
  <si>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</si>
  <si>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</si>
  <si>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</si>
  <si>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</si>
  <si>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</si>
  <si>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</si>
  <si>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</si>
  <si>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</si>
  <si>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</si>
  <si>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</si>
  <si>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</si>
  <si>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</si>
  <si>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</si>
  <si>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</si>
  <si>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</si>
  <si>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</si>
  <si>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</si>
  <si>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</si>
  <si>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</si>
  <si>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</si>
  <si>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</si>
  <si>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</si>
  <si>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</si>
  <si>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</si>
  <si>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</si>
  <si>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</si>
  <si>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</si>
  <si>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</si>
  <si>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</si>
  <si>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</si>
  <si>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</si>
  <si>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</si>
  <si>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</si>
  <si>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</si>
  <si>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</si>
  <si>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</si>
  <si>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</si>
  <si>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</si>
  <si>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</si>
  <si>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</si>
  <si>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</si>
  <si>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</si>
  <si>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</si>
  <si>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</si>
  <si>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</si>
  <si>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</si>
  <si>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</si>
  <si>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</si>
  <si>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</si>
  <si>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</si>
  <si>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</si>
  <si>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</si>
  <si>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</si>
  <si>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</si>
  <si>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</si>
  <si>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</si>
  <si>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</si>
  <si>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</si>
  <si>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</si>
  <si>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</si>
  <si>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</si>
  <si>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</si>
  <si>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</si>
  <si>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</si>
  <si>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</si>
  <si>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</si>
  <si>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</si>
  <si>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</si>
  <si>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</si>
  <si>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</si>
  <si>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</si>
  <si>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</si>
  <si>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</si>
  <si>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</si>
  <si>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</si>
  <si>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</si>
  <si>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</si>
  <si>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</si>
  <si>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</si>
  <si>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</si>
  <si>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</si>
  <si>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</si>
  <si>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</si>
  <si>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</si>
  <si>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</si>
  <si>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</si>
  <si>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</si>
  <si>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</si>
  <si>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</si>
  <si>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</si>
  <si>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</si>
  <si>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</si>
  <si>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</si>
  <si>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</si>
  <si>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</si>
  <si>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</si>
  <si>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</si>
  <si>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난방배관공사,바닥난방공사,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</si>
  <si>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</si>
  <si>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</si>
  <si>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</si>
  <si>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</si>
  <si>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실험동물자원은행 신축공사</t>
    <phoneticPr fontId="2" type="noConversion"/>
  </si>
  <si>
    <t>대구시</t>
  </si>
  <si>
    <t>골재비및운반비, 작업부산물, 품질시험비, 기타공사</t>
    <phoneticPr fontId="2" type="noConversion"/>
  </si>
  <si>
    <t>CCTV설비공사</t>
    <phoneticPr fontId="2" type="noConversion"/>
  </si>
  <si>
    <t>옥외소화배관공사, 펌프실배관공사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</si>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</sst>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3742.36</v>
      </c>
      <c r="D7" s="36">
        <f>+C7/3.3058</f>
        <v>1132.0588057353741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1011300</v>
      </c>
      <c r="E25" s="59">
        <f t="shared" si="0"/>
        <v>3343150</v>
      </c>
    </row>
    <row r="26" spans="1:5" x14ac:dyDescent="0.3">
      <c r="B26" s="2">
        <v>3</v>
      </c>
      <c r="C26" s="35" t="s">
        <v>95</v>
      </c>
      <c r="D26" s="45">
        <f>+D66</f>
        <v>97400</v>
      </c>
      <c r="E26" s="59">
        <f t="shared" si="0"/>
        <v>321980</v>
      </c>
    </row>
    <row r="27" spans="1:5" x14ac:dyDescent="0.3">
      <c r="B27" s="2">
        <v>4</v>
      </c>
      <c r="C27" s="35" t="s">
        <v>96</v>
      </c>
      <c r="D27" s="45">
        <f>+D95</f>
        <v>206170</v>
      </c>
      <c r="E27" s="59">
        <f t="shared" si="0"/>
        <v>681550</v>
      </c>
    </row>
    <row r="28" spans="1:5" x14ac:dyDescent="0.3">
      <c r="B28" s="2">
        <v>5</v>
      </c>
      <c r="C28" s="35" t="s">
        <v>97</v>
      </c>
      <c r="D28" s="45">
        <f>+D119</f>
        <v>257700</v>
      </c>
      <c r="E28" s="59">
        <f t="shared" si="0"/>
        <v>851900</v>
      </c>
    </row>
    <row r="29" spans="1:5" x14ac:dyDescent="0.3">
      <c r="B29" s="2">
        <v>6</v>
      </c>
      <c r="C29" s="35" t="s">
        <v>98</v>
      </c>
      <c r="D29" s="45">
        <f>+D133</f>
        <v>28880</v>
      </c>
      <c r="E29" s="59">
        <f t="shared" si="0"/>
        <v>95470</v>
      </c>
    </row>
    <row r="30" spans="1:5" x14ac:dyDescent="0.3">
      <c r="B30" s="2">
        <v>7</v>
      </c>
      <c r="C30" s="35" t="s">
        <v>99</v>
      </c>
      <c r="D30" s="45">
        <f>+D146</f>
        <v>113390</v>
      </c>
      <c r="E30" s="59">
        <f t="shared" si="0"/>
        <v>374840</v>
      </c>
    </row>
    <row r="31" spans="1:5" x14ac:dyDescent="0.3">
      <c r="B31" s="2">
        <v>8</v>
      </c>
      <c r="C31" s="35" t="s">
        <v>100</v>
      </c>
      <c r="D31" s="45">
        <f>+D154</f>
        <v>102360</v>
      </c>
      <c r="E31" s="59">
        <f t="shared" si="0"/>
        <v>338380</v>
      </c>
    </row>
    <row r="32" spans="1:5" x14ac:dyDescent="0.3">
      <c r="B32" s="2">
        <v>9</v>
      </c>
      <c r="C32" s="35" t="s">
        <v>101</v>
      </c>
      <c r="D32" s="45">
        <f>+D161</f>
        <v>34730</v>
      </c>
      <c r="E32" s="59">
        <f t="shared" si="0"/>
        <v>114810</v>
      </c>
    </row>
    <row r="33" spans="1:7" x14ac:dyDescent="0.3">
      <c r="B33" s="2">
        <v>10</v>
      </c>
      <c r="C33" s="35" t="s">
        <v>155</v>
      </c>
      <c r="D33" s="53">
        <f>TRUNC(SUM(D24:D32)*0.275,-1)</f>
        <v>509280</v>
      </c>
      <c r="E33" s="60">
        <f t="shared" si="0"/>
        <v>1683570</v>
      </c>
    </row>
    <row r="34" spans="1:7" x14ac:dyDescent="0.3">
      <c r="C34" s="35" t="s">
        <v>112</v>
      </c>
      <c r="D34" s="44">
        <f>SUM(D24:D33)</f>
        <v>2361210</v>
      </c>
      <c r="E34" s="44">
        <f>SUM(E24:E33)</f>
        <v>7805650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TRUNC(93707,-1)</f>
        <v>93700</v>
      </c>
      <c r="E40" s="62">
        <f t="shared" ref="E40:E59" si="1">TRUNC(+D40*3.3058,-1)</f>
        <v>309750</v>
      </c>
    </row>
    <row r="41" spans="1:7" x14ac:dyDescent="0.3">
      <c r="A41" s="2">
        <v>2</v>
      </c>
      <c r="C41" s="38" t="s">
        <v>13</v>
      </c>
      <c r="D41" s="42">
        <f>TRUNC(195278,-1)</f>
        <v>195270</v>
      </c>
      <c r="E41" s="63">
        <f t="shared" si="1"/>
        <v>645520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TRUNC(13977,-1)</f>
        <v>13970</v>
      </c>
      <c r="E43" s="63">
        <f t="shared" si="1"/>
        <v>46180</v>
      </c>
    </row>
    <row r="44" spans="1:7" x14ac:dyDescent="0.3">
      <c r="A44" s="2">
        <v>5</v>
      </c>
      <c r="C44" s="38" t="s">
        <v>17</v>
      </c>
      <c r="D44" s="42">
        <f>TRUNC(33953,-1)</f>
        <v>33950</v>
      </c>
      <c r="E44" s="63">
        <f t="shared" si="1"/>
        <v>112230</v>
      </c>
    </row>
    <row r="45" spans="1:7" x14ac:dyDescent="0.3">
      <c r="A45" s="2">
        <v>6</v>
      </c>
      <c r="C45" s="38" t="s">
        <v>18</v>
      </c>
      <c r="D45" s="42">
        <v>5080</v>
      </c>
      <c r="E45" s="63">
        <f t="shared" si="1"/>
        <v>16790</v>
      </c>
    </row>
    <row r="46" spans="1:7" x14ac:dyDescent="0.3">
      <c r="A46" s="2">
        <v>7</v>
      </c>
      <c r="C46" s="38" t="s">
        <v>19</v>
      </c>
      <c r="D46" s="42">
        <f>TRUNC(32865,-1)</f>
        <v>32860</v>
      </c>
      <c r="E46" s="63">
        <f t="shared" si="1"/>
        <v>108620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27250</v>
      </c>
      <c r="E48" s="63">
        <f t="shared" si="1"/>
        <v>90080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TRUNC(14769,-1)</f>
        <v>14760</v>
      </c>
      <c r="E49" s="63">
        <f t="shared" si="1"/>
        <v>48790</v>
      </c>
    </row>
    <row r="50" spans="1:7" x14ac:dyDescent="0.3">
      <c r="A50" s="2">
        <v>11</v>
      </c>
      <c r="C50" s="38" t="s">
        <v>156</v>
      </c>
      <c r="D50" s="42">
        <f>TRUNC(36158,-1)</f>
        <v>36150</v>
      </c>
      <c r="E50" s="63">
        <f t="shared" si="1"/>
        <v>119500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TRUNC(13382,-1)</f>
        <v>13380</v>
      </c>
      <c r="E52" s="63">
        <f t="shared" si="1"/>
        <v>44230</v>
      </c>
    </row>
    <row r="53" spans="1:7" x14ac:dyDescent="0.3">
      <c r="A53" s="2">
        <v>14</v>
      </c>
      <c r="C53" s="38" t="s">
        <v>25</v>
      </c>
      <c r="D53" s="42">
        <f>TRUNC(40355,-1)</f>
        <v>40350</v>
      </c>
      <c r="E53" s="63">
        <f t="shared" si="1"/>
        <v>133380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TRUNC(3648-400+819+17109,-1)</f>
        <v>21170</v>
      </c>
      <c r="E58" s="63">
        <f t="shared" si="1"/>
        <v>69980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TRUNC(483411,-1)</f>
        <v>483410</v>
      </c>
      <c r="E59" s="64">
        <f t="shared" si="1"/>
        <v>1598050</v>
      </c>
    </row>
    <row r="60" spans="1:7" x14ac:dyDescent="0.3">
      <c r="A60" s="2">
        <v>21</v>
      </c>
      <c r="C60" s="27" t="s">
        <v>112</v>
      </c>
      <c r="D60" s="39">
        <f>SUM(D40:D59)</f>
        <v>1011300</v>
      </c>
      <c r="E60" s="39">
        <f>SUM(E40:E59)</f>
        <v>3343100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TRUNC(97401,-1)</f>
        <v>97400</v>
      </c>
      <c r="E63" s="62">
        <f>TRUNC(+D63*3.3058,-1)</f>
        <v>321980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97400</v>
      </c>
      <c r="E66" s="65">
        <f>SUM(E63:E65)</f>
        <v>321980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TRUNC(28079,-1)</f>
        <v>28070</v>
      </c>
      <c r="E69" s="62">
        <f t="shared" ref="E69:E94" si="2">TRUNC(+D69*3.3058,-1)</f>
        <v>92790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TRUNC(6218,-1)</f>
        <v>6210</v>
      </c>
      <c r="E72" s="63">
        <f t="shared" si="2"/>
        <v>20520</v>
      </c>
    </row>
    <row r="73" spans="1:7" x14ac:dyDescent="0.3">
      <c r="A73" s="2">
        <v>5</v>
      </c>
      <c r="C73" s="38" t="s">
        <v>34</v>
      </c>
      <c r="D73" s="42">
        <f>TRUNC(12227,-1)</f>
        <v>12220</v>
      </c>
      <c r="E73" s="63">
        <f t="shared" si="2"/>
        <v>40390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TRUNC(12936,-1)</f>
        <v>12930</v>
      </c>
      <c r="E75" s="63">
        <f t="shared" si="2"/>
        <v>42740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TRUNC(2932,-1)</f>
        <v>2930</v>
      </c>
      <c r="E89" s="63">
        <f t="shared" si="2"/>
        <v>9680</v>
      </c>
    </row>
    <row r="90" spans="1:7" x14ac:dyDescent="0.3">
      <c r="A90" s="2">
        <v>22</v>
      </c>
      <c r="C90" s="38" t="s">
        <v>36</v>
      </c>
      <c r="D90" s="42">
        <v>2190</v>
      </c>
      <c r="E90" s="63">
        <f t="shared" si="2"/>
        <v>7230</v>
      </c>
    </row>
    <row r="91" spans="1:7" x14ac:dyDescent="0.3">
      <c r="A91" s="2">
        <v>23</v>
      </c>
      <c r="C91" s="38" t="s">
        <v>37</v>
      </c>
      <c r="D91" s="42">
        <f>TRUNC(61087,-1)</f>
        <v>61080</v>
      </c>
      <c r="E91" s="63">
        <f t="shared" si="2"/>
        <v>201910</v>
      </c>
    </row>
    <row r="92" spans="1:7" x14ac:dyDescent="0.3">
      <c r="A92" s="2">
        <v>24</v>
      </c>
      <c r="C92" s="38" t="s">
        <v>38</v>
      </c>
      <c r="D92" s="42">
        <f>TRUNC(2976,-1)</f>
        <v>2970</v>
      </c>
      <c r="E92" s="63">
        <f t="shared" si="2"/>
        <v>9810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TRUNC(77571,-1)</f>
        <v>77570</v>
      </c>
      <c r="E94" s="64">
        <f t="shared" si="2"/>
        <v>256430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206170</v>
      </c>
      <c r="E95" s="39">
        <f>SUM(E69:E94)</f>
        <v>681500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TRUNC(17935,-1)</f>
        <v>17930</v>
      </c>
      <c r="E98" s="62">
        <f t="shared" ref="E98:E118" si="3">TRUNC(+D98*3.3058,-1)</f>
        <v>59270</v>
      </c>
    </row>
    <row r="99" spans="1:7" x14ac:dyDescent="0.3">
      <c r="A99" s="2">
        <v>2</v>
      </c>
      <c r="C99" s="38" t="s">
        <v>40</v>
      </c>
      <c r="D99" s="42">
        <f>TRUNC(17256,-1)</f>
        <v>17250</v>
      </c>
      <c r="E99" s="63">
        <f t="shared" si="3"/>
        <v>57020</v>
      </c>
    </row>
    <row r="100" spans="1:7" x14ac:dyDescent="0.3">
      <c r="A100" s="2">
        <v>3</v>
      </c>
      <c r="C100" s="38" t="s">
        <v>41</v>
      </c>
      <c r="D100" s="42">
        <f>TRUNC(32126,-1)</f>
        <v>32120</v>
      </c>
      <c r="E100" s="63">
        <f t="shared" si="3"/>
        <v>106180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TRUNC(10684,-1)</f>
        <v>10680</v>
      </c>
      <c r="E102" s="63">
        <f t="shared" si="3"/>
        <v>35300</v>
      </c>
    </row>
    <row r="103" spans="1:7" x14ac:dyDescent="0.3">
      <c r="A103" s="2">
        <v>6</v>
      </c>
      <c r="C103" s="38" t="s">
        <v>44</v>
      </c>
      <c r="D103" s="42">
        <f>TRUNC(1639,-1)</f>
        <v>1630</v>
      </c>
      <c r="E103" s="63">
        <f t="shared" si="3"/>
        <v>5380</v>
      </c>
    </row>
    <row r="104" spans="1:7" x14ac:dyDescent="0.3">
      <c r="A104" s="2">
        <v>7</v>
      </c>
      <c r="C104" s="38" t="s">
        <v>45</v>
      </c>
      <c r="D104" s="42">
        <f>TRUNC(7811,-1)</f>
        <v>7810</v>
      </c>
      <c r="E104" s="63">
        <f t="shared" si="3"/>
        <v>25810</v>
      </c>
    </row>
    <row r="105" spans="1:7" x14ac:dyDescent="0.3">
      <c r="A105" s="2">
        <v>8</v>
      </c>
      <c r="C105" s="38" t="s">
        <v>46</v>
      </c>
      <c r="D105" s="42">
        <f>TRUNC(6322,-1)</f>
        <v>6320</v>
      </c>
      <c r="E105" s="63">
        <f t="shared" si="3"/>
        <v>20890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TRUNC(8618,-1)</f>
        <v>8610</v>
      </c>
      <c r="E114" s="63">
        <f t="shared" si="3"/>
        <v>28460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TRUNC(136168,-1)</f>
        <v>136160</v>
      </c>
      <c r="E117" s="63">
        <f t="shared" si="3"/>
        <v>450110</v>
      </c>
    </row>
    <row r="118" spans="1:7" ht="17.25" thickBot="1" x14ac:dyDescent="0.35">
      <c r="A118" s="2">
        <v>21</v>
      </c>
      <c r="C118" s="38" t="s">
        <v>47</v>
      </c>
      <c r="D118" s="43">
        <f>TRUNC(19192,-1)</f>
        <v>19190</v>
      </c>
      <c r="E118" s="64">
        <f t="shared" si="3"/>
        <v>63430</v>
      </c>
    </row>
    <row r="119" spans="1:7" x14ac:dyDescent="0.3">
      <c r="A119" s="2">
        <v>22</v>
      </c>
      <c r="C119" s="27" t="s">
        <v>112</v>
      </c>
      <c r="D119" s="39">
        <f>SUM(D98:D118)</f>
        <v>257700</v>
      </c>
      <c r="E119" s="39">
        <f>SUM(E98:E118)</f>
        <v>851850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TRUNC(2541,-1)</f>
        <v>2540</v>
      </c>
      <c r="E122" s="62">
        <f t="shared" ref="E122:E132" si="4">TRUNC(+D122*3.3058,-1)</f>
        <v>8390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TRUNC(6239,-1)</f>
        <v>6230</v>
      </c>
      <c r="E125" s="63">
        <f t="shared" si="4"/>
        <v>20590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6310</v>
      </c>
      <c r="E127" s="63">
        <f t="shared" si="4"/>
        <v>20850</v>
      </c>
    </row>
    <row r="128" spans="1:7" x14ac:dyDescent="0.3">
      <c r="A128" s="2">
        <v>7</v>
      </c>
      <c r="C128" s="38" t="s">
        <v>46</v>
      </c>
      <c r="D128" s="42">
        <v>970</v>
      </c>
      <c r="E128" s="63">
        <f t="shared" si="4"/>
        <v>3200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TRUNC(10964,-1)</f>
        <v>10960</v>
      </c>
      <c r="E130" s="63">
        <f t="shared" si="4"/>
        <v>36230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TRUNC(1877,-1)</f>
        <v>1870</v>
      </c>
      <c r="E132" s="64">
        <f t="shared" si="4"/>
        <v>6180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28880</v>
      </c>
      <c r="E133" s="39">
        <f>SUM(E122:E132)</f>
        <v>95440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TRUNC(194+9081,-1)</f>
        <v>9270</v>
      </c>
      <c r="E137" s="63">
        <f t="shared" si="5"/>
        <v>30640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TRUNC(63122,-1)</f>
        <v>63120</v>
      </c>
      <c r="E138" s="63">
        <f t="shared" si="5"/>
        <v>208660</v>
      </c>
    </row>
    <row r="139" spans="1:7" x14ac:dyDescent="0.3">
      <c r="A139" s="2">
        <v>4</v>
      </c>
      <c r="C139" s="38" t="s">
        <v>61</v>
      </c>
      <c r="D139" s="42">
        <f>TRUNC(5938,-1)</f>
        <v>5930</v>
      </c>
      <c r="E139" s="63">
        <f t="shared" si="5"/>
        <v>19600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TRUNC(7686,-1)</f>
        <v>7680</v>
      </c>
      <c r="E141" s="63">
        <f t="shared" si="5"/>
        <v>25380</v>
      </c>
    </row>
    <row r="142" spans="1:7" x14ac:dyDescent="0.3">
      <c r="A142" s="2">
        <v>7</v>
      </c>
      <c r="C142" s="38" t="s">
        <v>58</v>
      </c>
      <c r="D142" s="42">
        <f>TRUNC(5044,-1)</f>
        <v>5040</v>
      </c>
      <c r="E142" s="63">
        <f t="shared" si="5"/>
        <v>16660</v>
      </c>
    </row>
    <row r="143" spans="1:7" x14ac:dyDescent="0.3">
      <c r="A143" s="2">
        <v>8</v>
      </c>
      <c r="C143" s="38" t="s">
        <v>62</v>
      </c>
      <c r="D143" s="42">
        <f>TRUNC(3519,-1)</f>
        <v>3510</v>
      </c>
      <c r="E143" s="63">
        <f t="shared" si="5"/>
        <v>11600</v>
      </c>
    </row>
    <row r="144" spans="1:7" x14ac:dyDescent="0.3">
      <c r="A144" s="2">
        <v>9</v>
      </c>
      <c r="C144" s="38" t="s">
        <v>63</v>
      </c>
      <c r="D144" s="42">
        <f>TRUNC(18845,-1)</f>
        <v>18840</v>
      </c>
      <c r="E144" s="63">
        <f t="shared" si="5"/>
        <v>62280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113390</v>
      </c>
      <c r="E146" s="39">
        <f>SUM(E136:E145)</f>
        <v>374820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TRUNC(57887,-1)</f>
        <v>57880</v>
      </c>
      <c r="E149" s="62">
        <f>TRUNC(+D149*3.3058,-1)</f>
        <v>191330</v>
      </c>
    </row>
    <row r="150" spans="1:7" x14ac:dyDescent="0.3">
      <c r="A150" s="2">
        <v>2</v>
      </c>
      <c r="C150" s="38" t="s">
        <v>49</v>
      </c>
      <c r="D150" s="42">
        <f>TRUNC(15057,-1)</f>
        <v>15050</v>
      </c>
      <c r="E150" s="63">
        <f>TRUNC(+D150*3.3058,-1)</f>
        <v>49750</v>
      </c>
    </row>
    <row r="151" spans="1:7" x14ac:dyDescent="0.3">
      <c r="A151" s="2">
        <v>3</v>
      </c>
      <c r="C151" s="38" t="s">
        <v>50</v>
      </c>
      <c r="D151" s="42">
        <f>TRUNC(13277,-1)</f>
        <v>13270</v>
      </c>
      <c r="E151" s="63">
        <f>TRUNC(+D151*3.3058,-1)</f>
        <v>43860</v>
      </c>
    </row>
    <row r="152" spans="1:7" x14ac:dyDescent="0.3">
      <c r="A152" s="2">
        <v>4</v>
      </c>
      <c r="C152" s="38" t="s">
        <v>47</v>
      </c>
      <c r="D152" s="42">
        <f>TRUNC(16161,-1)</f>
        <v>16160</v>
      </c>
      <c r="E152" s="63">
        <f>TRUNC(+D152*3.3058,-1)</f>
        <v>53420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102360</v>
      </c>
      <c r="E154" s="39">
        <f>SUM(E149:E153)</f>
        <v>338360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TRUNC(29416,-1)</f>
        <v>29410</v>
      </c>
      <c r="E157" s="62">
        <f>TRUNC(+D157*3.3058,-1)</f>
        <v>97220</v>
      </c>
    </row>
    <row r="158" spans="1:7" x14ac:dyDescent="0.3">
      <c r="A158" s="2">
        <v>2</v>
      </c>
      <c r="C158" s="38" t="s">
        <v>52</v>
      </c>
      <c r="D158" s="42">
        <f>TRUNC(2739,-1)</f>
        <v>2730</v>
      </c>
      <c r="E158" s="63">
        <f>TRUNC(+D158*3.3058,-1)</f>
        <v>9020</v>
      </c>
    </row>
    <row r="159" spans="1:7" x14ac:dyDescent="0.3">
      <c r="A159" s="2">
        <v>3</v>
      </c>
      <c r="C159" s="38" t="s">
        <v>47</v>
      </c>
      <c r="D159" s="42">
        <f>TRUNC(2598,-1)</f>
        <v>2590</v>
      </c>
      <c r="E159" s="63">
        <f>TRUNC(+D159*3.3058,-1)</f>
        <v>8560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34730</v>
      </c>
      <c r="E161" s="39">
        <f>SUM(E157:E160)</f>
        <v>114800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2020-12-08T01:13:54Z</dcterms:modified>
</cp:coreProperties>
</file>