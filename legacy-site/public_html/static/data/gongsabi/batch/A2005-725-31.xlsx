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1" i="4"/>
  <c r="E145" i="4"/>
  <c r="E144" i="4"/>
  <c r="E143" i="4"/>
  <c r="E142" i="4"/>
  <c r="E141" i="4"/>
  <c r="E140" i="4"/>
  <c r="E139" i="4"/>
  <c r="E138" i="4"/>
  <c r="E132" i="4"/>
  <c r="E130" i="4"/>
  <c r="E129" i="4"/>
  <c r="E127" i="4"/>
  <c r="E126" i="4"/>
  <c r="E124" i="4"/>
  <c r="E116" i="4"/>
  <c r="E114" i="4"/>
  <c r="E113" i="4"/>
  <c r="E112" i="4"/>
  <c r="E111" i="4"/>
  <c r="E110" i="4"/>
  <c r="E109" i="4"/>
  <c r="E108" i="4"/>
  <c r="E107" i="4"/>
  <c r="E106" i="4"/>
  <c r="E103" i="4"/>
  <c r="E101" i="4"/>
  <c r="E92" i="4"/>
  <c r="E91" i="4"/>
  <c r="E89" i="4"/>
  <c r="E88" i="4"/>
  <c r="E87" i="4"/>
  <c r="E86" i="4"/>
  <c r="E85" i="4"/>
  <c r="E84" i="4"/>
  <c r="E83" i="4"/>
  <c r="E82" i="4"/>
  <c r="E81" i="4"/>
  <c r="E80" i="4"/>
  <c r="E79" i="4"/>
  <c r="E77" i="4"/>
  <c r="E76" i="4"/>
  <c r="E74" i="4"/>
  <c r="E73" i="4"/>
  <c r="E70" i="4"/>
  <c r="E64" i="4"/>
  <c r="E59" i="4"/>
  <c r="E57" i="4"/>
  <c r="E56" i="4"/>
  <c r="E54" i="4"/>
  <c r="D131" i="4" l="1"/>
  <c r="E131" i="4" s="1"/>
  <c r="D117" i="4"/>
  <c r="E117" i="4" s="1"/>
  <c r="D93" i="4"/>
  <c r="E93" i="4" s="1"/>
  <c r="D161" i="4" l="1"/>
  <c r="D152" i="4"/>
  <c r="D150" i="4"/>
  <c r="E150" i="4" s="1"/>
  <c r="D149" i="4"/>
  <c r="E149" i="4" s="1"/>
  <c r="D137" i="4"/>
  <c r="D136" i="4"/>
  <c r="E136" i="4" s="1"/>
  <c r="D128" i="4"/>
  <c r="E128" i="4" s="1"/>
  <c r="D125" i="4"/>
  <c r="E125" i="4" s="1"/>
  <c r="D123" i="4"/>
  <c r="E123" i="4" s="1"/>
  <c r="D122" i="4"/>
  <c r="D118" i="4"/>
  <c r="E118" i="4" s="1"/>
  <c r="D115" i="4"/>
  <c r="E115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D94" i="4"/>
  <c r="E94" i="4" s="1"/>
  <c r="D90" i="4"/>
  <c r="E90" i="4" s="1"/>
  <c r="D78" i="4"/>
  <c r="E78" i="4" s="1"/>
  <c r="D75" i="4"/>
  <c r="E75" i="4" s="1"/>
  <c r="D72" i="4"/>
  <c r="E72" i="4" s="1"/>
  <c r="D71" i="4"/>
  <c r="E71" i="4" s="1"/>
  <c r="D69" i="4"/>
  <c r="E69" i="4" s="1"/>
  <c r="D65" i="4"/>
  <c r="E65" i="4" s="1"/>
  <c r="D63" i="4"/>
  <c r="E63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37" i="4"/>
  <c r="D32" i="4"/>
  <c r="E32" i="4" s="1"/>
  <c r="D7" i="4"/>
  <c r="D66" i="4" l="1"/>
  <c r="D26" i="4" s="1"/>
  <c r="E26" i="4" s="1"/>
  <c r="D95" i="4"/>
  <c r="D27" i="4" s="1"/>
  <c r="E27" i="4" s="1"/>
  <c r="E95" i="4"/>
  <c r="D119" i="4"/>
  <c r="D28" i="4" s="1"/>
  <c r="E28" i="4" s="1"/>
  <c r="E98" i="4"/>
  <c r="D133" i="4"/>
  <c r="D29" i="4" s="1"/>
  <c r="E29" i="4" s="1"/>
  <c r="E122" i="4"/>
  <c r="E133" i="4" s="1"/>
  <c r="D154" i="4"/>
  <c r="D31" i="4" s="1"/>
  <c r="E31" i="4" s="1"/>
  <c r="E152" i="4"/>
  <c r="E154" i="4" s="1"/>
  <c r="D24" i="4"/>
  <c r="E24" i="4" s="1"/>
  <c r="E37" i="4"/>
  <c r="D60" i="4"/>
  <c r="D25" i="4" s="1"/>
  <c r="E25" i="4" s="1"/>
  <c r="E40" i="4"/>
  <c r="E60" i="4" s="1"/>
  <c r="E66" i="4"/>
  <c r="E119" i="4"/>
  <c r="D146" i="4"/>
  <c r="D30" i="4" s="1"/>
  <c r="E30" i="4" s="1"/>
  <c r="E137" i="4"/>
  <c r="E146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<sst xmlns="http://schemas.openxmlformats.org/spreadsheetml/2006/main" count="390" uniqueCount="265">
  <si>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</si>
  <si>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</si>
  <si>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</si>
  <si>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</si>
  <si>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</si>
  <si>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</si>
  <si>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</si>
  <si>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</si>
  <si>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</si>
  <si>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</si>
  <si>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</si>
  <si>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</si>
  <si>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</si>
  <si>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</si>
  <si>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</si>
  <si>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</si>
  <si>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</si>
  <si>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</si>
  <si>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</si>
  <si>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</si>
  <si>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</si>
  <si>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</si>
  <si>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</si>
  <si>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</si>
  <si>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</si>
  <si>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</si>
  <si>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</si>
  <si>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</si>
  <si>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</si>
  <si>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</si>
  <si>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</si>
  <si>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</si>
  <si>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</si>
  <si>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</si>
  <si>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</si>
  <si>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</si>
  <si>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</si>
  <si>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</si>
  <si>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</si>
  <si>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</si>
  <si>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</si>
  <si>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</si>
  <si>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</si>
  <si>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</si>
  <si>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</si>
  <si>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</si>
  <si>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</si>
  <si>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</si>
  <si>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</si>
  <si>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</si>
  <si>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</si>
  <si>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</si>
  <si>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</si>
  <si>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</si>
  <si>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</si>
  <si>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</si>
  <si>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</si>
  <si>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</si>
  <si>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</si>
  <si>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</si>
  <si>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</si>
  <si>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</si>
  <si>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</si>
  <si>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</si>
  <si>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</si>
  <si>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</si>
  <si>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</si>
  <si>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</si>
  <si>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</si>
  <si>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</si>
  <si>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</si>
  <si>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</si>
  <si>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</si>
  <si>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</si>
  <si>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</si>
  <si>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</si>
  <si>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</si>
  <si>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</si>
  <si>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</si>
  <si>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</si>
  <si>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</si>
  <si>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</si>
  <si>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</si>
  <si>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</si>
  <si>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</si>
  <si>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</si>
  <si>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</si>
  <si>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</si>
  <si>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</si>
  <si>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</si>
  <si>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</si>
  <si>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</si>
  <si>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</si>
  <si>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</si>
  <si>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</si>
  <si>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</si>
  <si>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</si>
  <si>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</si>
  <si>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</si>
  <si>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</si>
  <si>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</si>
  <si>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</si>
  <si>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</si>
  <si>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</si>
  <si>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</si>
  <si>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</si>
  <si>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</si>
  <si>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</si>
  <si>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</si>
  <si>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</si>
  <si>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</si>
  <si>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</si>
  <si>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</si>
  <si>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</si>
  <si>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</si>
  <si>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</si>
  <si>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</si>
  <si>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</si>
  <si>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</si>
  <si>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</si>
  <si>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</si>
  <si>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</si>
  <si>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</si>
  <si>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</si>
  <si>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</si>
  <si>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</si>
  <si>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</si>
  <si>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</si>
  <si>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</si>
  <si>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</si>
  <si>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</si>
  <si>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</si>
  <si>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</si>
  <si>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</si>
  <si>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</si>
  <si>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</si>
  <si>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</si>
  <si>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</si>
  <si>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</si>
  <si>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</si>
  <si>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</si>
  <si>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</si>
  <si>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</si>
  <si>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</si>
  <si>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</si>
  <si>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</si>
  <si>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</si>
  <si>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</si>
  <si>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</si>
  <si>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</si>
  <si>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</si>
  <si>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</si>
  <si>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</si>
  <si>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</si>
  <si>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</si>
  <si>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</si>
  <si>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</si>
  <si>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</si>
  <si>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</si>
  <si>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</si>
  <si>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</si>
  <si>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</si>
  <si>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</si>
  <si>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</si>
  <si>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</si>
  <si>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</si>
  <si>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</si>
  <si>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</si>
  <si>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</si>
  <si>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</si>
  <si>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</si>
  <si>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</si>
  <si>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</si>
  <si>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</si>
  <si>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</si>
  <si>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</si>
  <si>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</si>
  <si>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</si>
  <si>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</si>
  <si>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</si>
  <si>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</si>
  <si>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</si>
  <si>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</si>
  <si>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</si>
  <si>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</si>
  <si>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</si>
  <si>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</si>
  <si>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</si>
  <si>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</si>
  <si>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</si>
  <si>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</si>
  <si>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</si>
  <si>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</si>
  <si>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</si>
  <si>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</si>
  <si>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</si>
  <si>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</si>
  <si>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</si>
  <si>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</si>
  <si>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</si>
  <si>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</si>
  <si>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</si>
  <si>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</si>
  <si>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</si>
  <si>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</si>
  <si>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</si>
  <si>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</si>
  <si>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</si>
  <si>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</si>
  <si>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</si>
  <si>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</si>
  <si>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</si>
  <si>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</si>
  <si>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</si>
  <si>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</si>
  <si>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</si>
  <si>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</si>
  <si>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</si>
  <si>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</si>
  <si>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</si>
  <si>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</si>
  <si>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</si>
  <si>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</si>
  <si>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</si>
  <si>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</si>
  <si>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</si>
  <si>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</si>
  <si>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</si>
  <si>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</si>
  <si>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</si>
  <si>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</si>
  <si>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</si>
  <si>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</si>
  <si>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</si>
  <si>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</si>
  <si>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</si>
  <si>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</si>
  <si>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</si>
  <si>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</si>
  <si>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</si>
  <si>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</si>
  <si>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</si>
  <si>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</si>
  <si>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</si>
  <si>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</si>
  <si>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</si>
  <si>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문화및집회</t>
  </si>
  <si>
    <t>00체육센터 신축공사</t>
  </si>
  <si>
    <t>대전시</t>
  </si>
  <si>
    <t>평</t>
    <phoneticPr fontId="2" type="noConversion"/>
  </si>
  <si>
    <t>원/ m2</t>
    <phoneticPr fontId="2" type="noConversion"/>
  </si>
  <si>
    <t>토및지정공사,수영장공사,기타공사,부대공사, 조경공사,골재비,작업부산물,운반공사</t>
    <phoneticPr fontId="2" type="noConversion"/>
  </si>
  <si>
    <t>공조 배관공사,위생배관 공사</t>
    <phoneticPr fontId="2" type="noConversion"/>
  </si>
  <si>
    <t>MCC 설비공사,엘리베이터 설비공사</t>
    <phoneticPr fontId="2" type="noConversion"/>
  </si>
  <si>
    <t>기계 소화설비공사</t>
    <phoneticPr fontId="2" type="noConversion"/>
  </si>
  <si>
    <t>전기소방공사</t>
  </si>
  <si>
    <t>옹벽공,자재비,운반비</t>
    <phoneticPr fontId="2" type="noConversion"/>
  </si>
  <si>
    <t>관급자설치관급</t>
    <phoneticPr fontId="2" type="noConversion"/>
  </si>
  <si>
    <t>도급자설치, 관급자설치</t>
    <phoneticPr fontId="2" type="noConversion"/>
  </si>
  <si>
    <t>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</si>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</sst>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3059</v>
      </c>
      <c r="D7" s="36">
        <f>+C7/3.3058</f>
        <v>925.34333595498822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10780</v>
      </c>
      <c r="E24" s="59">
        <f t="shared" ref="E24:E33" si="0">TRUNC(+D24*3.3058,-1)</f>
        <v>35630</v>
      </c>
    </row>
    <row r="25" spans="1:5" x14ac:dyDescent="0.3">
      <c r="B25" s="2">
        <v>2</v>
      </c>
      <c r="C25" s="35" t="s">
        <v>111</v>
      </c>
      <c r="D25" s="45">
        <f>+D60</f>
        <v>1011760</v>
      </c>
      <c r="E25" s="60">
        <f t="shared" si="0"/>
        <v>3344670</v>
      </c>
    </row>
    <row r="26" spans="1:5" x14ac:dyDescent="0.3">
      <c r="B26" s="2">
        <v>3</v>
      </c>
      <c r="C26" s="35" t="s">
        <v>95</v>
      </c>
      <c r="D26" s="45">
        <f>+D66</f>
        <v>276710</v>
      </c>
      <c r="E26" s="60">
        <f t="shared" si="0"/>
        <v>914740</v>
      </c>
    </row>
    <row r="27" spans="1:5" x14ac:dyDescent="0.3">
      <c r="B27" s="2">
        <v>4</v>
      </c>
      <c r="C27" s="35" t="s">
        <v>96</v>
      </c>
      <c r="D27" s="45">
        <f>+D95</f>
        <v>415930</v>
      </c>
      <c r="E27" s="60">
        <f t="shared" si="0"/>
        <v>1374980</v>
      </c>
    </row>
    <row r="28" spans="1:5" x14ac:dyDescent="0.3">
      <c r="B28" s="2">
        <v>5</v>
      </c>
      <c r="C28" s="35" t="s">
        <v>97</v>
      </c>
      <c r="D28" s="45">
        <f>+D119</f>
        <v>174110</v>
      </c>
      <c r="E28" s="60">
        <f t="shared" si="0"/>
        <v>575570</v>
      </c>
    </row>
    <row r="29" spans="1:5" x14ac:dyDescent="0.3">
      <c r="B29" s="2">
        <v>6</v>
      </c>
      <c r="C29" s="35" t="s">
        <v>98</v>
      </c>
      <c r="D29" s="45">
        <f>+D133</f>
        <v>87460</v>
      </c>
      <c r="E29" s="60">
        <f t="shared" si="0"/>
        <v>289120</v>
      </c>
    </row>
    <row r="30" spans="1:5" x14ac:dyDescent="0.3">
      <c r="B30" s="2">
        <v>7</v>
      </c>
      <c r="C30" s="35" t="s">
        <v>99</v>
      </c>
      <c r="D30" s="45">
        <f>+D146</f>
        <v>43560</v>
      </c>
      <c r="E30" s="60">
        <f t="shared" si="0"/>
        <v>144000</v>
      </c>
    </row>
    <row r="31" spans="1:5" x14ac:dyDescent="0.3">
      <c r="B31" s="2">
        <v>8</v>
      </c>
      <c r="C31" s="35" t="s">
        <v>100</v>
      </c>
      <c r="D31" s="45">
        <f>+D154</f>
        <v>31500</v>
      </c>
      <c r="E31" s="60">
        <f t="shared" si="0"/>
        <v>104130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8">
        <f>TRUNC(SUM(D24:D32)*0.275,-1)</f>
        <v>564240</v>
      </c>
      <c r="E33" s="61">
        <f t="shared" si="0"/>
        <v>1865260</v>
      </c>
    </row>
    <row r="34" spans="1:7" x14ac:dyDescent="0.3">
      <c r="C34" s="35" t="s">
        <v>112</v>
      </c>
      <c r="D34" s="44">
        <f>SUM(D24:D33)</f>
        <v>2616050</v>
      </c>
      <c r="E34" s="44">
        <f>SUM(E24:E33)</f>
        <v>8648100</v>
      </c>
    </row>
    <row r="35" spans="1:7" s="54" customFormat="1" x14ac:dyDescent="0.3">
      <c r="C35" s="55"/>
      <c r="D35" s="55"/>
      <c r="E35" s="55"/>
      <c r="F35" s="53"/>
      <c r="G35" s="53"/>
    </row>
    <row r="36" spans="1:7" s="54" customFormat="1" ht="17.25" thickBot="1" x14ac:dyDescent="0.35">
      <c r="B36" s="54" t="s">
        <v>12</v>
      </c>
      <c r="C36" s="54" t="s">
        <v>236</v>
      </c>
      <c r="D36" s="55" t="s">
        <v>235</v>
      </c>
      <c r="E36" s="55" t="s">
        <v>153</v>
      </c>
      <c r="F36" s="53"/>
      <c r="G36" s="53"/>
    </row>
    <row r="37" spans="1:7" ht="17.25" thickBot="1" x14ac:dyDescent="0.35">
      <c r="C37" s="38" t="s">
        <v>143</v>
      </c>
      <c r="D37" s="52">
        <f>TRUNC(10784.7080745342,-1)</f>
        <v>10780</v>
      </c>
      <c r="E37" s="62">
        <f>TRUNC(+D37*3.3058,-1)</f>
        <v>35630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TRUNC(49965.6345210853,-1)</f>
        <v>49960</v>
      </c>
      <c r="E40" s="63">
        <f t="shared" ref="E40:E59" si="1">TRUNC(+D40*3.3058,-1)</f>
        <v>165150</v>
      </c>
    </row>
    <row r="41" spans="1:7" x14ac:dyDescent="0.3">
      <c r="A41" s="2">
        <v>2</v>
      </c>
      <c r="C41" s="38" t="s">
        <v>13</v>
      </c>
      <c r="D41" s="42">
        <f>TRUNC(196926.163452109,-1)</f>
        <v>196920</v>
      </c>
      <c r="E41" s="64">
        <f t="shared" si="1"/>
        <v>650970</v>
      </c>
    </row>
    <row r="42" spans="1:7" x14ac:dyDescent="0.3">
      <c r="A42" s="2">
        <v>3</v>
      </c>
      <c r="C42" s="38" t="s">
        <v>14</v>
      </c>
      <c r="D42" s="42">
        <f>TRUNC(44242.5122589081,-1)</f>
        <v>44240</v>
      </c>
      <c r="E42" s="64">
        <f t="shared" si="1"/>
        <v>146240</v>
      </c>
    </row>
    <row r="43" spans="1:7" x14ac:dyDescent="0.3">
      <c r="A43" s="2">
        <v>4</v>
      </c>
      <c r="C43" s="38" t="s">
        <v>16</v>
      </c>
      <c r="D43" s="42">
        <f>TRUNC(11607.8417783589,-1)</f>
        <v>11600</v>
      </c>
      <c r="E43" s="64">
        <f t="shared" si="1"/>
        <v>38340</v>
      </c>
    </row>
    <row r="44" spans="1:7" x14ac:dyDescent="0.3">
      <c r="A44" s="2">
        <v>5</v>
      </c>
      <c r="C44" s="38" t="s">
        <v>17</v>
      </c>
      <c r="D44" s="42">
        <f>TRUNC(49629.6096763648,-1)</f>
        <v>49620</v>
      </c>
      <c r="E44" s="64">
        <f t="shared" si="1"/>
        <v>164030</v>
      </c>
    </row>
    <row r="45" spans="1:7" x14ac:dyDescent="0.3">
      <c r="A45" s="2">
        <v>6</v>
      </c>
      <c r="C45" s="38" t="s">
        <v>18</v>
      </c>
      <c r="D45" s="42">
        <f>TRUNC(24762.3932657731,-1)</f>
        <v>24760</v>
      </c>
      <c r="E45" s="64">
        <f t="shared" si="1"/>
        <v>81850</v>
      </c>
    </row>
    <row r="46" spans="1:7" x14ac:dyDescent="0.3">
      <c r="A46" s="2">
        <v>7</v>
      </c>
      <c r="C46" s="38" t="s">
        <v>19</v>
      </c>
      <c r="D46" s="42">
        <f>TRUNC(55635.3893429225,-1)</f>
        <v>55630</v>
      </c>
      <c r="E46" s="64">
        <f t="shared" si="1"/>
        <v>183900</v>
      </c>
    </row>
    <row r="47" spans="1:7" x14ac:dyDescent="0.3">
      <c r="A47" s="2">
        <v>8</v>
      </c>
      <c r="C47" s="38" t="s">
        <v>20</v>
      </c>
      <c r="D47" s="42">
        <f>TRUNC(47112.5282772148,-1)</f>
        <v>47110</v>
      </c>
      <c r="E47" s="64">
        <f t="shared" si="1"/>
        <v>155730</v>
      </c>
    </row>
    <row r="48" spans="1:7" x14ac:dyDescent="0.3">
      <c r="A48" s="2">
        <v>9</v>
      </c>
      <c r="C48" s="38" t="s">
        <v>21</v>
      </c>
      <c r="D48" s="42">
        <f>TRUNC(137082.422033344,-1)</f>
        <v>137080</v>
      </c>
      <c r="E48" s="64">
        <f t="shared" si="1"/>
        <v>453150</v>
      </c>
    </row>
    <row r="49" spans="1:7" x14ac:dyDescent="0.3">
      <c r="A49" s="2">
        <v>10</v>
      </c>
      <c r="C49" s="38" t="s">
        <v>22</v>
      </c>
      <c r="D49" s="42">
        <f>TRUNC(27852.5315462569,-1)</f>
        <v>27850</v>
      </c>
      <c r="E49" s="64">
        <f t="shared" si="1"/>
        <v>92060</v>
      </c>
    </row>
    <row r="50" spans="1:7" x14ac:dyDescent="0.3">
      <c r="A50" s="2">
        <v>11</v>
      </c>
      <c r="C50" s="38" t="s">
        <v>155</v>
      </c>
      <c r="D50" s="42">
        <f>TRUNC(63151.0460934946,-1)</f>
        <v>63150</v>
      </c>
      <c r="E50" s="64">
        <f t="shared" si="1"/>
        <v>208760</v>
      </c>
    </row>
    <row r="51" spans="1:7" x14ac:dyDescent="0.3">
      <c r="A51" s="2">
        <v>12</v>
      </c>
      <c r="C51" s="38" t="s">
        <v>23</v>
      </c>
      <c r="D51" s="42">
        <f>TRUNC(22013.2013729977,-1)</f>
        <v>22010</v>
      </c>
      <c r="E51" s="64">
        <f t="shared" si="1"/>
        <v>72760</v>
      </c>
    </row>
    <row r="52" spans="1:7" x14ac:dyDescent="0.3">
      <c r="A52" s="2">
        <v>13</v>
      </c>
      <c r="C52" s="38" t="s">
        <v>24</v>
      </c>
      <c r="D52" s="42">
        <f>TRUNC(4586.91271657404,-1)</f>
        <v>4580</v>
      </c>
      <c r="E52" s="64">
        <f t="shared" si="1"/>
        <v>15140</v>
      </c>
    </row>
    <row r="53" spans="1:7" x14ac:dyDescent="0.3">
      <c r="A53" s="2">
        <v>14</v>
      </c>
      <c r="C53" s="38" t="s">
        <v>25</v>
      </c>
      <c r="D53" s="42">
        <f>TRUNC(50771.1892775417,-1)</f>
        <v>50770</v>
      </c>
      <c r="E53" s="64">
        <f t="shared" si="1"/>
        <v>167830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TRUNC(3439.52762340634,-1)</f>
        <v>3430</v>
      </c>
      <c r="E55" s="64">
        <f t="shared" si="1"/>
        <v>11330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TRUNC(552.686498855835+18151.7639751553+30448.6567505721+754.925792742726+404.982020268061+11361.3533834586-573.738149722131+2921.0575351422+159035.378228179,-1)</f>
        <v>223050</v>
      </c>
      <c r="E58" s="64">
        <f t="shared" si="1"/>
        <v>737350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5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1011760</v>
      </c>
      <c r="E60" s="39">
        <f>SUM(E40:E59)</f>
        <v>3344590</v>
      </c>
    </row>
    <row r="61" spans="1:7" s="54" customFormat="1" x14ac:dyDescent="0.3">
      <c r="C61" s="55"/>
      <c r="D61" s="55"/>
      <c r="E61" s="55"/>
      <c r="F61" s="53"/>
      <c r="G61" s="53"/>
    </row>
    <row r="62" spans="1:7" s="54" customFormat="1" ht="17.25" thickBot="1" x14ac:dyDescent="0.35">
      <c r="B62" s="54" t="s">
        <v>237</v>
      </c>
      <c r="C62" s="54" t="s">
        <v>238</v>
      </c>
      <c r="D62" s="55" t="s">
        <v>250</v>
      </c>
      <c r="E62" s="55" t="s">
        <v>153</v>
      </c>
      <c r="F62" s="53"/>
      <c r="G62" s="53"/>
    </row>
    <row r="63" spans="1:7" x14ac:dyDescent="0.3">
      <c r="A63" s="2">
        <v>1</v>
      </c>
      <c r="C63" s="38" t="s">
        <v>27</v>
      </c>
      <c r="D63" s="40">
        <f>TRUNC(13077.2853873815,-1)</f>
        <v>13070</v>
      </c>
      <c r="E63" s="63">
        <f>TRUNC(+D63*3.3058,-1)</f>
        <v>43200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TRUNC(263644.141549526,-1)</f>
        <v>263640</v>
      </c>
      <c r="E65" s="65">
        <f>TRUNC(+D65*3.3058,-1)</f>
        <v>871540</v>
      </c>
    </row>
    <row r="66" spans="1:7" x14ac:dyDescent="0.3">
      <c r="A66" s="2">
        <v>4</v>
      </c>
      <c r="C66" s="27" t="s">
        <v>112</v>
      </c>
      <c r="D66" s="56">
        <f>SUM(D63:D65)</f>
        <v>276710</v>
      </c>
      <c r="E66" s="56">
        <f>SUM(E63:E65)</f>
        <v>914740</v>
      </c>
    </row>
    <row r="67" spans="1:7" s="54" customFormat="1" x14ac:dyDescent="0.3">
      <c r="C67" s="55"/>
      <c r="D67" s="55"/>
      <c r="E67" s="55"/>
      <c r="F67" s="53"/>
      <c r="G67" s="53"/>
    </row>
    <row r="68" spans="1:7" s="54" customFormat="1" ht="17.25" thickBot="1" x14ac:dyDescent="0.35">
      <c r="B68" s="54" t="s">
        <v>239</v>
      </c>
      <c r="C68" s="54" t="s">
        <v>240</v>
      </c>
      <c r="D68" s="55" t="s">
        <v>250</v>
      </c>
      <c r="E68" s="55" t="s">
        <v>153</v>
      </c>
      <c r="F68" s="53"/>
      <c r="G68" s="53"/>
    </row>
    <row r="69" spans="1:7" x14ac:dyDescent="0.3">
      <c r="A69" s="2">
        <v>1</v>
      </c>
      <c r="C69" s="38" t="s">
        <v>30</v>
      </c>
      <c r="D69" s="40">
        <f>TRUNC(29998.1892775417,-1)</f>
        <v>29990</v>
      </c>
      <c r="E69" s="63">
        <f>TRUNC(+D69*3.3058,-1)</f>
        <v>99140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>TRUNC(+D70*3.3058,-1)</f>
        <v>0</v>
      </c>
    </row>
    <row r="71" spans="1:7" x14ac:dyDescent="0.3">
      <c r="A71" s="2">
        <v>3</v>
      </c>
      <c r="C71" s="38" t="s">
        <v>32</v>
      </c>
      <c r="D71" s="42">
        <f>TRUNC(35304.3128473357,-1)</f>
        <v>35300</v>
      </c>
      <c r="E71" s="64">
        <f t="shared" ref="E71:E73" si="2">TRUNC(+D71*3.3058,-1)</f>
        <v>116690</v>
      </c>
    </row>
    <row r="72" spans="1:7" x14ac:dyDescent="0.3">
      <c r="A72" s="2">
        <v>4</v>
      </c>
      <c r="C72" s="38" t="s">
        <v>33</v>
      </c>
      <c r="D72" s="42">
        <f>TRUNC(9592.45276234063,-1)</f>
        <v>9590</v>
      </c>
      <c r="E72" s="64">
        <f t="shared" si="2"/>
        <v>31700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TRUNC(4171.02321019941,-1)</f>
        <v>4170</v>
      </c>
      <c r="E75" s="64">
        <f>TRUNC(+D75*3.3058,-1)</f>
        <v>13780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TRUNC(64622.7966655769,-1)</f>
        <v>64620</v>
      </c>
      <c r="E78" s="64">
        <f t="shared" si="3"/>
        <v>213620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f>TRUNC(4216.30859758091,-1)</f>
        <v>4210</v>
      </c>
      <c r="E90" s="64">
        <f>TRUNC(+D90*3.3058,-1)</f>
        <v>13910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TRUNC(207023.864007846,-1)</f>
        <v>207020</v>
      </c>
      <c r="E93" s="64">
        <f>TRUNC(+D93*3.3058,-1)</f>
        <v>684360</v>
      </c>
      <c r="F93" s="2" t="s">
        <v>257</v>
      </c>
    </row>
    <row r="94" spans="1:7" ht="17.25" thickBot="1" x14ac:dyDescent="0.35">
      <c r="A94" s="2">
        <v>26</v>
      </c>
      <c r="C94" s="38" t="s">
        <v>47</v>
      </c>
      <c r="D94" s="43">
        <f>TRUNC(23957.0686498856+37079.4001307617,-1)</f>
        <v>61030</v>
      </c>
      <c r="E94" s="65">
        <f>TRUNC(+D94*3.3058,-1)</f>
        <v>201750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415930</v>
      </c>
      <c r="E95" s="39">
        <f>SUM(E69:E94)</f>
        <v>1374950</v>
      </c>
    </row>
    <row r="96" spans="1:7" s="54" customFormat="1" x14ac:dyDescent="0.3">
      <c r="C96" s="55"/>
      <c r="D96" s="55"/>
      <c r="E96" s="55"/>
      <c r="F96" s="53"/>
      <c r="G96" s="53"/>
    </row>
    <row r="97" spans="1:7" s="54" customFormat="1" ht="17.25" thickBot="1" x14ac:dyDescent="0.35">
      <c r="B97" s="54" t="s">
        <v>241</v>
      </c>
      <c r="C97" s="54" t="s">
        <v>240</v>
      </c>
      <c r="D97" s="55" t="s">
        <v>250</v>
      </c>
      <c r="E97" s="55" t="s">
        <v>153</v>
      </c>
      <c r="F97" s="53"/>
      <c r="G97" s="53"/>
    </row>
    <row r="98" spans="1:7" x14ac:dyDescent="0.3">
      <c r="A98" s="2">
        <v>1</v>
      </c>
      <c r="C98" s="38" t="s">
        <v>39</v>
      </c>
      <c r="D98" s="40">
        <f>TRUNC(12900.3527296502,-1)</f>
        <v>12900</v>
      </c>
      <c r="E98" s="63">
        <f t="shared" ref="E98:E118" si="4">TRUNC(+D98*3.3058,-1)</f>
        <v>42640</v>
      </c>
    </row>
    <row r="99" spans="1:7" x14ac:dyDescent="0.3">
      <c r="A99" s="2">
        <v>2</v>
      </c>
      <c r="C99" s="38" t="s">
        <v>40</v>
      </c>
      <c r="D99" s="42">
        <f>TRUNC(11931.5547564564,-1)</f>
        <v>11930</v>
      </c>
      <c r="E99" s="64">
        <f t="shared" si="4"/>
        <v>39430</v>
      </c>
    </row>
    <row r="100" spans="1:7" x14ac:dyDescent="0.3">
      <c r="A100" s="2">
        <v>3</v>
      </c>
      <c r="C100" s="38" t="s">
        <v>41</v>
      </c>
      <c r="D100" s="42">
        <f>TRUNC(25080.7126511932,-1)</f>
        <v>25080</v>
      </c>
      <c r="E100" s="64">
        <f t="shared" si="4"/>
        <v>82900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TRUNC(4309.45930042498,-1)</f>
        <v>4300</v>
      </c>
      <c r="E102" s="64">
        <f t="shared" si="4"/>
        <v>14210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TRUNC(1484.06799607715,-1)</f>
        <v>1480</v>
      </c>
      <c r="E104" s="64">
        <f t="shared" si="4"/>
        <v>4890</v>
      </c>
    </row>
    <row r="105" spans="1:7" x14ac:dyDescent="0.3">
      <c r="A105" s="2">
        <v>8</v>
      </c>
      <c r="C105" s="38" t="s">
        <v>46</v>
      </c>
      <c r="D105" s="42">
        <f>TRUNC(1708.67276887872,-1)</f>
        <v>1700</v>
      </c>
      <c r="E105" s="64">
        <f t="shared" si="4"/>
        <v>5610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TRUNC(16357.1510297483,-1)</f>
        <v>16350</v>
      </c>
      <c r="E115" s="64">
        <f t="shared" si="4"/>
        <v>54040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TRUNC(33798.6270022883+36544.6224256292,-1)</f>
        <v>70340</v>
      </c>
      <c r="E117" s="64">
        <f t="shared" si="4"/>
        <v>232520</v>
      </c>
      <c r="F117" s="2" t="s">
        <v>258</v>
      </c>
    </row>
    <row r="118" spans="1:7" ht="17.25" thickBot="1" x14ac:dyDescent="0.35">
      <c r="A118" s="2">
        <v>21</v>
      </c>
      <c r="C118" s="38" t="s">
        <v>47</v>
      </c>
      <c r="D118" s="43">
        <f>TRUNC(17778.8303367113+12258.908139915,-1)</f>
        <v>30030</v>
      </c>
      <c r="E118" s="65">
        <f t="shared" si="4"/>
        <v>99270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174110</v>
      </c>
      <c r="E119" s="39">
        <f>SUM(E98:E118)</f>
        <v>575510</v>
      </c>
    </row>
    <row r="120" spans="1:7" s="54" customFormat="1" x14ac:dyDescent="0.3">
      <c r="C120" s="55"/>
      <c r="D120" s="55"/>
      <c r="E120" s="55"/>
      <c r="F120" s="53"/>
      <c r="G120" s="53"/>
    </row>
    <row r="121" spans="1:7" s="54" customFormat="1" ht="17.25" thickBot="1" x14ac:dyDescent="0.35">
      <c r="B121" s="54" t="s">
        <v>242</v>
      </c>
      <c r="C121" s="54" t="s">
        <v>240</v>
      </c>
      <c r="D121" s="55" t="s">
        <v>250</v>
      </c>
      <c r="E121" s="55" t="s">
        <v>153</v>
      </c>
      <c r="F121" s="53"/>
      <c r="G121" s="53"/>
    </row>
    <row r="122" spans="1:7" x14ac:dyDescent="0.3">
      <c r="A122" s="2">
        <v>1</v>
      </c>
      <c r="C122" s="38" t="s">
        <v>55</v>
      </c>
      <c r="D122" s="40">
        <f>TRUNC(1201.8352402746,-1)</f>
        <v>1200</v>
      </c>
      <c r="E122" s="63">
        <f t="shared" ref="E122:E132" si="5">TRUNC(+D122*3.3058,-1)</f>
        <v>3960</v>
      </c>
    </row>
    <row r="123" spans="1:7" x14ac:dyDescent="0.3">
      <c r="A123" s="2">
        <v>2</v>
      </c>
      <c r="C123" s="38" t="s">
        <v>124</v>
      </c>
      <c r="D123" s="42">
        <f>TRUNC(2444.62242562929,-1)</f>
        <v>2440</v>
      </c>
      <c r="E123" s="64">
        <f t="shared" si="5"/>
        <v>8060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TRUNC(8489.00882641386,-1)</f>
        <v>8480</v>
      </c>
      <c r="E125" s="64">
        <f t="shared" si="5"/>
        <v>28030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TRUNC(357.475318731612,-1)</f>
        <v>350</v>
      </c>
      <c r="E128" s="64">
        <f t="shared" si="5"/>
        <v>1150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TRUNC(74991.8273945734,-1)</f>
        <v>74990</v>
      </c>
      <c r="E131" s="64">
        <f t="shared" si="5"/>
        <v>247900</v>
      </c>
      <c r="F131" s="2" t="s">
        <v>259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5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87460</v>
      </c>
      <c r="E133" s="39">
        <f>SUM(E122:E132)</f>
        <v>289100</v>
      </c>
    </row>
    <row r="134" spans="1:7" s="54" customFormat="1" x14ac:dyDescent="0.3">
      <c r="C134" s="55"/>
      <c r="D134" s="55"/>
      <c r="E134" s="55"/>
      <c r="F134" s="53"/>
      <c r="G134" s="53"/>
    </row>
    <row r="135" spans="1:7" s="54" customFormat="1" ht="17.25" thickBot="1" x14ac:dyDescent="0.35">
      <c r="B135" s="54" t="s">
        <v>243</v>
      </c>
      <c r="C135" s="54" t="s">
        <v>240</v>
      </c>
      <c r="D135" s="55" t="s">
        <v>235</v>
      </c>
      <c r="E135" s="55" t="s">
        <v>153</v>
      </c>
      <c r="F135" s="53"/>
      <c r="G135" s="53"/>
    </row>
    <row r="136" spans="1:7" x14ac:dyDescent="0.3">
      <c r="A136" s="2">
        <v>1</v>
      </c>
      <c r="C136" s="38" t="s">
        <v>131</v>
      </c>
      <c r="D136" s="40">
        <f>TRUNC(29950.3968617195,-1)</f>
        <v>29950</v>
      </c>
      <c r="E136" s="63">
        <f t="shared" ref="E136:E145" si="6">TRUNC(+D136*3.3058,-1)</f>
        <v>99000</v>
      </c>
      <c r="F136" s="2" t="s">
        <v>254</v>
      </c>
    </row>
    <row r="137" spans="1:7" x14ac:dyDescent="0.3">
      <c r="A137" s="2">
        <v>2</v>
      </c>
      <c r="C137" s="38" t="s">
        <v>47</v>
      </c>
      <c r="D137" s="42">
        <f>TRUNC(13619.9784243217,-1)</f>
        <v>13610</v>
      </c>
      <c r="E137" s="64">
        <f t="shared" si="6"/>
        <v>44990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43560</v>
      </c>
      <c r="E146" s="39">
        <f>SUM(E136:E145)</f>
        <v>143990</v>
      </c>
    </row>
    <row r="147" spans="1:7" s="54" customFormat="1" x14ac:dyDescent="0.3">
      <c r="C147" s="55"/>
      <c r="D147" s="55"/>
      <c r="E147" s="55"/>
      <c r="F147" s="53"/>
      <c r="G147" s="53"/>
    </row>
    <row r="148" spans="1:7" s="54" customFormat="1" ht="17.25" thickBot="1" x14ac:dyDescent="0.35">
      <c r="B148" s="54" t="s">
        <v>244</v>
      </c>
      <c r="C148" s="54" t="s">
        <v>240</v>
      </c>
      <c r="D148" s="55" t="s">
        <v>235</v>
      </c>
      <c r="E148" s="55" t="s">
        <v>153</v>
      </c>
      <c r="F148" s="53"/>
      <c r="G148" s="53"/>
    </row>
    <row r="149" spans="1:7" x14ac:dyDescent="0.3">
      <c r="A149" s="2">
        <v>1</v>
      </c>
      <c r="C149" s="38" t="s">
        <v>48</v>
      </c>
      <c r="D149" s="40">
        <f>TRUNC(5455.03040209219+362.267734553776,-1)</f>
        <v>5810</v>
      </c>
      <c r="E149" s="63">
        <f>TRUNC(+D149*3.3058,-1)</f>
        <v>19200</v>
      </c>
    </row>
    <row r="150" spans="1:7" x14ac:dyDescent="0.3">
      <c r="A150" s="2">
        <v>2</v>
      </c>
      <c r="C150" s="38" t="s">
        <v>49</v>
      </c>
      <c r="D150" s="42">
        <f>TRUNC(11932.9238313174,-1)</f>
        <v>11930</v>
      </c>
      <c r="E150" s="64">
        <f>TRUNC(+D150*3.3058,-1)</f>
        <v>39430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TRUNC(5992.09807126512+7601.76920562275+170.069630598235,-1)</f>
        <v>13760</v>
      </c>
      <c r="E152" s="64">
        <f>TRUNC(+D152*3.3058,-1)</f>
        <v>45480</v>
      </c>
      <c r="F152" s="57" t="s">
        <v>256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31500</v>
      </c>
      <c r="E154" s="39">
        <f>SUM(E149:E153)</f>
        <v>104110</v>
      </c>
    </row>
    <row r="155" spans="1:7" s="54" customFormat="1" x14ac:dyDescent="0.3">
      <c r="C155" s="55"/>
      <c r="D155" s="55"/>
      <c r="E155" s="55"/>
      <c r="F155" s="53"/>
      <c r="G155" s="53"/>
    </row>
    <row r="156" spans="1:7" s="54" customFormat="1" ht="17.25" thickBot="1" x14ac:dyDescent="0.35">
      <c r="B156" s="54" t="s">
        <v>245</v>
      </c>
      <c r="C156" s="54" t="s">
        <v>240</v>
      </c>
      <c r="D156" s="55" t="s">
        <v>235</v>
      </c>
      <c r="E156" s="55" t="s">
        <v>153</v>
      </c>
      <c r="F156" s="53"/>
      <c r="G156" s="53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2020-12-07T08:59:17Z</dcterms:modified>
</cp:coreProperties>
</file>