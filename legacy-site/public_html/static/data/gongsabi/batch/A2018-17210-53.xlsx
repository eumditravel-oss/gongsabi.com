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0" i="4"/>
  <c r="D149" i="4"/>
  <c r="D137" i="4"/>
  <c r="D144" i="4"/>
  <c r="D143" i="4"/>
  <c r="D141" i="4"/>
  <c r="D142" i="4"/>
  <c r="D140" i="4"/>
  <c r="D132" i="4"/>
  <c r="D127" i="4"/>
  <c r="D124" i="4"/>
  <c r="D125" i="4"/>
  <c r="D122" i="4"/>
  <c r="D130" i="4"/>
  <c r="D126" i="4"/>
  <c r="D118" i="4"/>
  <c r="D105" i="4"/>
  <c r="D104" i="4"/>
  <c r="D103" i="4"/>
  <c r="D102" i="4"/>
  <c r="D100" i="4"/>
  <c r="D99" i="4"/>
  <c r="D98" i="4"/>
  <c r="D116" i="4"/>
  <c r="D93" i="4"/>
  <c r="D92" i="4"/>
  <c r="D89" i="4"/>
  <c r="D73" i="4"/>
  <c r="D72" i="4"/>
  <c r="D94" i="4"/>
  <c r="D63" i="4"/>
  <c r="D58" i="4"/>
  <c r="D53" i="4"/>
  <c r="D50" i="4"/>
  <c r="D48" i="4"/>
  <c r="D46" i="4"/>
  <c r="D44" i="4"/>
  <c r="D43" i="4"/>
  <c r="D42" i="4"/>
  <c r="D41" i="4"/>
  <c r="D40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4" i="4"/>
  <c r="E24" i="4" s="1"/>
  <c r="D25" i="4"/>
  <c r="E25" i="4" s="1"/>
  <c r="D26" i="4"/>
  <c r="E26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<sst xmlns="http://schemas.openxmlformats.org/spreadsheetml/2006/main" count="393" uniqueCount="268">
  <si>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</si>
  <si>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</si>
  <si>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</si>
  <si>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</si>
  <si>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</si>
  <si>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</si>
  <si>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</si>
  <si>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</si>
  <si>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</si>
  <si>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</si>
  <si>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</si>
  <si>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</si>
  <si>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</si>
  <si>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</si>
  <si>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</si>
  <si>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</si>
  <si>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</si>
  <si>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</si>
  <si>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</si>
  <si>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</si>
  <si>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</si>
  <si>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</si>
  <si>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</si>
  <si>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</si>
  <si>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</si>
  <si>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</si>
  <si>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</si>
  <si>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</si>
  <si>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</si>
  <si>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</si>
  <si>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</si>
  <si>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</si>
  <si>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</si>
  <si>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</si>
  <si>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</si>
  <si>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</si>
  <si>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</si>
  <si>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</si>
  <si>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</si>
  <si>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</si>
  <si>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</si>
  <si>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</si>
  <si>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</si>
  <si>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</si>
  <si>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</si>
  <si>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</si>
  <si>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</si>
  <si>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</si>
  <si>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</si>
  <si>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</si>
  <si>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</si>
  <si>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</si>
  <si>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</si>
  <si>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</si>
  <si>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</si>
  <si>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</si>
  <si>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</si>
  <si>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</si>
  <si>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</si>
  <si>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</si>
  <si>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</si>
  <si>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</si>
  <si>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</si>
  <si>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</si>
  <si>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</si>
  <si>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</si>
  <si>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</si>
  <si>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</si>
  <si>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</si>
  <si>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</si>
  <si>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</si>
  <si>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</si>
  <si>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</si>
  <si>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</si>
  <si>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</si>
  <si>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</si>
  <si>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</si>
  <si>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</si>
  <si>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</si>
  <si>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</si>
  <si>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</si>
  <si>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</si>
  <si>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</si>
  <si>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</si>
  <si>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</si>
  <si>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</si>
  <si>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</si>
  <si>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</si>
  <si>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</si>
  <si>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</si>
  <si>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</si>
  <si>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</si>
  <si>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</si>
  <si>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</si>
  <si>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</si>
  <si>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</si>
  <si>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</si>
  <si>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</si>
  <si>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</si>
  <si>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</si>
  <si>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</si>
  <si>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</si>
  <si>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</si>
  <si>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</si>
  <si>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</si>
  <si>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</si>
  <si>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</si>
  <si>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</si>
  <si>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</si>
  <si>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</si>
  <si>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</si>
  <si>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</si>
  <si>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</si>
  <si>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</si>
  <si>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</si>
  <si>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</si>
  <si>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</si>
  <si>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</si>
  <si>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</si>
  <si>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</si>
  <si>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</si>
  <si>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</si>
  <si>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</si>
  <si>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</si>
  <si>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</si>
  <si>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</si>
  <si>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</si>
  <si>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</si>
  <si>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</si>
  <si>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</si>
  <si>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</si>
  <si>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</si>
  <si>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</si>
  <si>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</si>
  <si>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</si>
  <si>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</si>
  <si>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</si>
  <si>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</si>
  <si>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</si>
  <si>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</si>
  <si>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</si>
  <si>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</si>
  <si>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</si>
  <si>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</si>
  <si>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</si>
  <si>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</si>
  <si>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</si>
  <si>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</si>
  <si>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</si>
  <si>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</si>
  <si>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</si>
  <si>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</si>
  <si>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</si>
  <si>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</si>
  <si>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</si>
  <si>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</si>
  <si>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</si>
  <si>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</si>
  <si>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</si>
  <si>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</si>
  <si>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</si>
  <si>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</si>
  <si>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</si>
  <si>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</si>
  <si>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</si>
  <si>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</si>
  <si>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</si>
  <si>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</si>
  <si>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</si>
  <si>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</si>
  <si>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</si>
  <si>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</si>
  <si>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</si>
  <si>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</si>
  <si>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</si>
  <si>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</si>
  <si>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</si>
  <si>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</si>
  <si>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</si>
  <si>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</si>
  <si>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</si>
  <si>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</si>
  <si>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</si>
  <si>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</si>
  <si>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</si>
  <si>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</si>
  <si>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</si>
  <si>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</si>
  <si>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</si>
  <si>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</si>
  <si>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</si>
  <si>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</si>
  <si>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</si>
  <si>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</si>
  <si>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</si>
  <si>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</si>
  <si>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</si>
  <si>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</si>
  <si>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</si>
  <si>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</si>
  <si>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</si>
  <si>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</si>
  <si>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</si>
  <si>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</si>
  <si>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</si>
  <si>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</si>
  <si>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</si>
  <si>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</si>
  <si>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</si>
  <si>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</si>
  <si>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</si>
  <si>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</si>
  <si>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</si>
  <si>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</si>
  <si>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</si>
  <si>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</si>
  <si>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</si>
  <si>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</si>
  <si>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</si>
  <si>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</si>
  <si>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</si>
  <si>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</si>
  <si>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</si>
  <si>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</si>
  <si>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</si>
  <si>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</si>
  <si>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</si>
  <si>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</si>
  <si>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</si>
  <si>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</si>
  <si>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</si>
  <si>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</si>
  <si>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</si>
  <si>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</si>
  <si>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</si>
  <si>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</si>
  <si>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</si>
  <si>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</si>
  <si>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</si>
  <si>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</si>
  <si>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</si>
  <si>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</si>
  <si>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</si>
  <si>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</si>
  <si>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</si>
  <si>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</si>
  <si>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</si>
  <si>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</si>
  <si>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기타</t>
  </si>
  <si>
    <t>원주 반곡도서관 신축공사</t>
    <phoneticPr fontId="2" type="noConversion"/>
  </si>
  <si>
    <t>강원도</t>
  </si>
  <si>
    <t>기초공사,골재비및운반비,기타공사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</si>
  <si>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</si>
  <si>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</si>
  <si>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</si>
  <si>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공조배관공사,우수처리시설공사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</si>
  <si>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</si>
  <si>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</si>
  <si>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</si>
  <si>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</t>
    <phoneticPr fontId="2" type="noConversion"/>
  </si>
  <si>
    <t>기타공사</t>
    <phoneticPr fontId="2" type="noConversion"/>
  </si>
  <si>
    <t>우수공사</t>
    <phoneticPr fontId="2" type="noConversion"/>
  </si>
  <si>
    <t>운반비,기타공사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</si>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</sst>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2963.04</v>
      </c>
      <c r="D7" s="36">
        <f>+C7/3.3058</f>
        <v>896.31556657995031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1347330</v>
      </c>
      <c r="E25" s="59">
        <f t="shared" si="0"/>
        <v>4454000</v>
      </c>
    </row>
    <row r="26" spans="1:5" x14ac:dyDescent="0.3">
      <c r="B26" s="2">
        <v>3</v>
      </c>
      <c r="C26" s="35" t="s">
        <v>95</v>
      </c>
      <c r="D26" s="45">
        <f>+D66</f>
        <v>33800</v>
      </c>
      <c r="E26" s="59">
        <f t="shared" si="0"/>
        <v>111730</v>
      </c>
    </row>
    <row r="27" spans="1:5" x14ac:dyDescent="0.3">
      <c r="B27" s="2">
        <v>4</v>
      </c>
      <c r="C27" s="35" t="s">
        <v>96</v>
      </c>
      <c r="D27" s="45">
        <f>+D95</f>
        <v>231730</v>
      </c>
      <c r="E27" s="59">
        <f t="shared" si="0"/>
        <v>766050</v>
      </c>
    </row>
    <row r="28" spans="1:5" x14ac:dyDescent="0.3">
      <c r="B28" s="2">
        <v>5</v>
      </c>
      <c r="C28" s="35" t="s">
        <v>97</v>
      </c>
      <c r="D28" s="45">
        <f>+D119</f>
        <v>280220</v>
      </c>
      <c r="E28" s="59">
        <f t="shared" si="0"/>
        <v>926350</v>
      </c>
    </row>
    <row r="29" spans="1:5" x14ac:dyDescent="0.3">
      <c r="B29" s="2">
        <v>6</v>
      </c>
      <c r="C29" s="35" t="s">
        <v>98</v>
      </c>
      <c r="D29" s="45">
        <f>+D133</f>
        <v>115230</v>
      </c>
      <c r="E29" s="59">
        <f t="shared" si="0"/>
        <v>380920</v>
      </c>
    </row>
    <row r="30" spans="1:5" x14ac:dyDescent="0.3">
      <c r="B30" s="2">
        <v>7</v>
      </c>
      <c r="C30" s="35" t="s">
        <v>99</v>
      </c>
      <c r="D30" s="45">
        <f>+D146</f>
        <v>77900</v>
      </c>
      <c r="E30" s="59">
        <f t="shared" si="0"/>
        <v>257520</v>
      </c>
    </row>
    <row r="31" spans="1:5" x14ac:dyDescent="0.3">
      <c r="B31" s="2">
        <v>8</v>
      </c>
      <c r="C31" s="35" t="s">
        <v>100</v>
      </c>
      <c r="D31" s="45">
        <f>+D154</f>
        <v>17270</v>
      </c>
      <c r="E31" s="59">
        <f t="shared" si="0"/>
        <v>57090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578450</v>
      </c>
      <c r="E33" s="60">
        <f t="shared" si="0"/>
        <v>1912240</v>
      </c>
    </row>
    <row r="34" spans="1:7" x14ac:dyDescent="0.3">
      <c r="C34" s="35" t="s">
        <v>112</v>
      </c>
      <c r="D34" s="44">
        <f>SUM(D24:D33)</f>
        <v>2681930</v>
      </c>
      <c r="E34" s="44">
        <f>SUM(E24:E33)</f>
        <v>8865900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TRUNC(66478,-1)</f>
        <v>66470</v>
      </c>
      <c r="E40" s="62">
        <f t="shared" ref="E40:E59" si="1">TRUNC(+D40*3.3058,-1)</f>
        <v>219730</v>
      </c>
    </row>
    <row r="41" spans="1:7" x14ac:dyDescent="0.3">
      <c r="A41" s="2">
        <v>2</v>
      </c>
      <c r="C41" s="38" t="s">
        <v>13</v>
      </c>
      <c r="D41" s="42">
        <f>TRUNC(274455,-1)</f>
        <v>274450</v>
      </c>
      <c r="E41" s="63">
        <f t="shared" si="1"/>
        <v>907270</v>
      </c>
    </row>
    <row r="42" spans="1:7" x14ac:dyDescent="0.3">
      <c r="A42" s="2">
        <v>3</v>
      </c>
      <c r="C42" s="38" t="s">
        <v>14</v>
      </c>
      <c r="D42" s="42">
        <f>TRUNC(73525,-1)</f>
        <v>73520</v>
      </c>
      <c r="E42" s="63">
        <f t="shared" si="1"/>
        <v>243040</v>
      </c>
    </row>
    <row r="43" spans="1:7" x14ac:dyDescent="0.3">
      <c r="A43" s="2">
        <v>4</v>
      </c>
      <c r="C43" s="38" t="s">
        <v>16</v>
      </c>
      <c r="D43" s="42">
        <f>TRUNC(27107,-1)</f>
        <v>27100</v>
      </c>
      <c r="E43" s="63">
        <f t="shared" si="1"/>
        <v>89580</v>
      </c>
    </row>
    <row r="44" spans="1:7" x14ac:dyDescent="0.3">
      <c r="A44" s="2">
        <v>5</v>
      </c>
      <c r="C44" s="38" t="s">
        <v>17</v>
      </c>
      <c r="D44" s="42">
        <f>TRUNC(53461,-1)</f>
        <v>53460</v>
      </c>
      <c r="E44" s="63">
        <f t="shared" si="1"/>
        <v>176720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TRUNC(25648,-1)</f>
        <v>25640</v>
      </c>
      <c r="E46" s="63">
        <f t="shared" si="1"/>
        <v>84760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TRUNC(52762,-1)</f>
        <v>52760</v>
      </c>
      <c r="E48" s="63">
        <f t="shared" si="1"/>
        <v>174410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f>TRUNC(61215,-1)</f>
        <v>61210</v>
      </c>
      <c r="E50" s="63">
        <f t="shared" si="1"/>
        <v>202340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f>TRUNC(32011,-1)</f>
        <v>32010</v>
      </c>
      <c r="E53" s="63">
        <f t="shared" si="1"/>
        <v>105810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TRUNC(6970+10812+5998,-1)</f>
        <v>23780</v>
      </c>
      <c r="E58" s="63">
        <f t="shared" si="1"/>
        <v>78610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TRUNC(656931,-1)</f>
        <v>656930</v>
      </c>
      <c r="E59" s="64">
        <f t="shared" si="1"/>
        <v>2171670</v>
      </c>
    </row>
    <row r="60" spans="1:7" x14ac:dyDescent="0.3">
      <c r="A60" s="2">
        <v>21</v>
      </c>
      <c r="C60" s="27" t="s">
        <v>112</v>
      </c>
      <c r="D60" s="39">
        <f>SUM(D40:D59)</f>
        <v>1347330</v>
      </c>
      <c r="E60" s="39">
        <f>SUM(E40:E59)</f>
        <v>4453940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TRUNC(33808,-1)</f>
        <v>33800</v>
      </c>
      <c r="E63" s="62">
        <f>TRUNC(+D63*3.3058,-1)</f>
        <v>111730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33800</v>
      </c>
      <c r="E66" s="65">
        <f>SUM(E63:E65)</f>
        <v>111730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TRUNC(980,-1)</f>
        <v>980</v>
      </c>
      <c r="E72" s="63">
        <f t="shared" si="2"/>
        <v>3230</v>
      </c>
    </row>
    <row r="73" spans="1:7" x14ac:dyDescent="0.3">
      <c r="A73" s="2">
        <v>5</v>
      </c>
      <c r="C73" s="38" t="s">
        <v>34</v>
      </c>
      <c r="D73" s="42">
        <f>TRUNC(4437,-1)</f>
        <v>4430</v>
      </c>
      <c r="E73" s="63">
        <f t="shared" si="2"/>
        <v>14640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TRUNC(7579,-1)</f>
        <v>7570</v>
      </c>
      <c r="E89" s="63">
        <f t="shared" si="2"/>
        <v>25020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TRUNC(11857,-1)</f>
        <v>11850</v>
      </c>
      <c r="E92" s="63">
        <f t="shared" si="2"/>
        <v>39170</v>
      </c>
    </row>
    <row r="93" spans="1:7" x14ac:dyDescent="0.3">
      <c r="A93" s="2">
        <v>25</v>
      </c>
      <c r="C93" s="38" t="s">
        <v>148</v>
      </c>
      <c r="D93" s="42">
        <f>TRUNC(192928,-1)</f>
        <v>192920</v>
      </c>
      <c r="E93" s="63">
        <f t="shared" si="2"/>
        <v>637750</v>
      </c>
    </row>
    <row r="94" spans="1:7" ht="17.25" thickBot="1" x14ac:dyDescent="0.35">
      <c r="A94" s="2">
        <v>26</v>
      </c>
      <c r="C94" s="38" t="s">
        <v>47</v>
      </c>
      <c r="D94" s="43">
        <f>TRUNC(2735+11251,-1)</f>
        <v>13980</v>
      </c>
      <c r="E94" s="64">
        <f t="shared" si="2"/>
        <v>46210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231730</v>
      </c>
      <c r="E95" s="39">
        <f>SUM(E69:E94)</f>
        <v>766020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TRUNC(10806,-1)</f>
        <v>10800</v>
      </c>
      <c r="E98" s="62">
        <f t="shared" ref="E98:E118" si="3">TRUNC(+D98*3.3058,-1)</f>
        <v>35700</v>
      </c>
    </row>
    <row r="99" spans="1:7" x14ac:dyDescent="0.3">
      <c r="A99" s="2">
        <v>2</v>
      </c>
      <c r="C99" s="38" t="s">
        <v>40</v>
      </c>
      <c r="D99" s="42">
        <f>TRUNC(3558,-1)</f>
        <v>3550</v>
      </c>
      <c r="E99" s="63">
        <f t="shared" si="3"/>
        <v>11730</v>
      </c>
    </row>
    <row r="100" spans="1:7" x14ac:dyDescent="0.3">
      <c r="A100" s="2">
        <v>3</v>
      </c>
      <c r="C100" s="38" t="s">
        <v>41</v>
      </c>
      <c r="D100" s="42">
        <f>TRUNC(50712,-1)</f>
        <v>50710</v>
      </c>
      <c r="E100" s="63">
        <f t="shared" si="3"/>
        <v>167630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TRUNC(21281,-1)</f>
        <v>21280</v>
      </c>
      <c r="E102" s="63">
        <f t="shared" si="3"/>
        <v>70340</v>
      </c>
    </row>
    <row r="103" spans="1:7" x14ac:dyDescent="0.3">
      <c r="A103" s="2">
        <v>6</v>
      </c>
      <c r="C103" s="38" t="s">
        <v>44</v>
      </c>
      <c r="D103" s="42">
        <f>TRUNC(11485,-1)</f>
        <v>11480</v>
      </c>
      <c r="E103" s="63">
        <f t="shared" si="3"/>
        <v>37950</v>
      </c>
    </row>
    <row r="104" spans="1:7" x14ac:dyDescent="0.3">
      <c r="A104" s="2">
        <v>7</v>
      </c>
      <c r="C104" s="38" t="s">
        <v>45</v>
      </c>
      <c r="D104" s="42">
        <f>TRUNC(6221,-1)</f>
        <v>6220</v>
      </c>
      <c r="E104" s="63">
        <f t="shared" si="3"/>
        <v>20560</v>
      </c>
    </row>
    <row r="105" spans="1:7" x14ac:dyDescent="0.3">
      <c r="A105" s="2">
        <v>8</v>
      </c>
      <c r="C105" s="38" t="s">
        <v>46</v>
      </c>
      <c r="D105" s="42">
        <f>TRUNC(6039,-1)</f>
        <v>6030</v>
      </c>
      <c r="E105" s="63">
        <f t="shared" si="3"/>
        <v>19930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TRUNC(12047,-1)</f>
        <v>12040</v>
      </c>
      <c r="E116" s="63">
        <f t="shared" si="3"/>
        <v>39800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TRUNC(153067,-1)</f>
        <v>153060</v>
      </c>
      <c r="E117" s="63">
        <f t="shared" si="3"/>
        <v>505980</v>
      </c>
    </row>
    <row r="118" spans="1:7" ht="17.25" thickBot="1" x14ac:dyDescent="0.35">
      <c r="A118" s="2">
        <v>21</v>
      </c>
      <c r="C118" s="38" t="s">
        <v>47</v>
      </c>
      <c r="D118" s="43">
        <f>TRUNC(5055,-1)</f>
        <v>5050</v>
      </c>
      <c r="E118" s="64">
        <f t="shared" si="3"/>
        <v>16690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280220</v>
      </c>
      <c r="E119" s="39">
        <f>SUM(E98:E118)</f>
        <v>926310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TRUNC(2269,-1)</f>
        <v>2260</v>
      </c>
      <c r="E122" s="62">
        <f t="shared" ref="E122:E132" si="4">TRUNC(+D122*3.3058,-1)</f>
        <v>7470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TRUNC(4168,-1)</f>
        <v>4160</v>
      </c>
      <c r="E124" s="63">
        <f t="shared" si="4"/>
        <v>13750</v>
      </c>
    </row>
    <row r="125" spans="1:7" x14ac:dyDescent="0.3">
      <c r="A125" s="2">
        <v>4</v>
      </c>
      <c r="C125" s="38" t="s">
        <v>138</v>
      </c>
      <c r="D125" s="42">
        <f>TRUNC(6109,-1)</f>
        <v>6100</v>
      </c>
      <c r="E125" s="63">
        <f t="shared" si="4"/>
        <v>20160</v>
      </c>
    </row>
    <row r="126" spans="1:7" x14ac:dyDescent="0.3">
      <c r="A126" s="2">
        <v>5</v>
      </c>
      <c r="C126" s="38" t="s">
        <v>53</v>
      </c>
      <c r="D126" s="42">
        <f>TRUNC(681,-1)</f>
        <v>680</v>
      </c>
      <c r="E126" s="63">
        <f t="shared" si="4"/>
        <v>2240</v>
      </c>
    </row>
    <row r="127" spans="1:7" x14ac:dyDescent="0.3">
      <c r="A127" s="2">
        <v>6</v>
      </c>
      <c r="C127" s="38" t="s">
        <v>56</v>
      </c>
      <c r="D127" s="42">
        <f>TRUNC(21793,-1)</f>
        <v>21790</v>
      </c>
      <c r="E127" s="63">
        <f t="shared" si="4"/>
        <v>72030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TRUNC(8197,-1)</f>
        <v>8190</v>
      </c>
      <c r="E130" s="63">
        <f t="shared" si="4"/>
        <v>27070</v>
      </c>
    </row>
    <row r="131" spans="1:7" x14ac:dyDescent="0.3">
      <c r="A131" s="2">
        <v>10</v>
      </c>
      <c r="C131" s="38" t="s">
        <v>148</v>
      </c>
      <c r="D131" s="42">
        <f>TRUNC(64580,-1)</f>
        <v>64580</v>
      </c>
      <c r="E131" s="63">
        <f t="shared" si="4"/>
        <v>213480</v>
      </c>
    </row>
    <row r="132" spans="1:7" ht="18" thickBot="1" x14ac:dyDescent="0.35">
      <c r="A132" s="2">
        <v>11</v>
      </c>
      <c r="C132" s="38" t="s">
        <v>47</v>
      </c>
      <c r="D132" s="43">
        <f>TRUNC(7472,-1)</f>
        <v>7470</v>
      </c>
      <c r="E132" s="64">
        <f t="shared" si="4"/>
        <v>24690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115230</v>
      </c>
      <c r="E133" s="39">
        <f>SUM(E122:E132)</f>
        <v>380890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TRUNC(4432,-1)</f>
        <v>4430</v>
      </c>
      <c r="E137" s="63">
        <f t="shared" si="5"/>
        <v>14640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TRUNC(14791,-1)</f>
        <v>14790</v>
      </c>
      <c r="E140" s="63">
        <f t="shared" si="5"/>
        <v>48890</v>
      </c>
    </row>
    <row r="141" spans="1:7" x14ac:dyDescent="0.3">
      <c r="A141" s="2">
        <v>6</v>
      </c>
      <c r="C141" s="38" t="s">
        <v>59</v>
      </c>
      <c r="D141" s="42">
        <f>TRUNC(30664,-1)</f>
        <v>30660</v>
      </c>
      <c r="E141" s="63">
        <f t="shared" si="5"/>
        <v>101350</v>
      </c>
    </row>
    <row r="142" spans="1:7" x14ac:dyDescent="0.3">
      <c r="A142" s="2">
        <v>7</v>
      </c>
      <c r="C142" s="38" t="s">
        <v>58</v>
      </c>
      <c r="D142" s="42">
        <f>TRUNC(3787,-1)</f>
        <v>3780</v>
      </c>
      <c r="E142" s="63">
        <f t="shared" si="5"/>
        <v>12490</v>
      </c>
    </row>
    <row r="143" spans="1:7" x14ac:dyDescent="0.3">
      <c r="A143" s="2">
        <v>8</v>
      </c>
      <c r="C143" s="38" t="s">
        <v>62</v>
      </c>
      <c r="D143" s="42">
        <f>TRUNC(4277,-1)</f>
        <v>4270</v>
      </c>
      <c r="E143" s="63">
        <f t="shared" si="5"/>
        <v>14110</v>
      </c>
    </row>
    <row r="144" spans="1:7" x14ac:dyDescent="0.3">
      <c r="A144" s="2">
        <v>9</v>
      </c>
      <c r="C144" s="38" t="s">
        <v>63</v>
      </c>
      <c r="D144" s="42">
        <f>TRUNC(19972,-1)</f>
        <v>19970</v>
      </c>
      <c r="E144" s="63">
        <f t="shared" si="5"/>
        <v>66010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77900</v>
      </c>
      <c r="E146" s="39">
        <f>SUM(E136:E145)</f>
        <v>257490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TRUNC(4380,-1)</f>
        <v>4380</v>
      </c>
      <c r="E149" s="62">
        <f>TRUNC(+D149*3.3058,-1)</f>
        <v>14470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TRUNC(9404,-1)</f>
        <v>9400</v>
      </c>
      <c r="E150" s="63">
        <f>TRUNC(+D150*3.3058,-1)</f>
        <v>31070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TRUNC(960+2530,-1)</f>
        <v>3490</v>
      </c>
      <c r="E152" s="63">
        <f>TRUNC(+D152*3.3058,-1)</f>
        <v>11530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17270</v>
      </c>
      <c r="E154" s="39">
        <f>SUM(E149:E153)</f>
        <v>57070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2020-12-08T04:05:48Z</dcterms:modified>
</cp:coreProperties>
</file>