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94" i="4"/>
  <c r="D92" i="4"/>
  <c r="D91" i="4"/>
  <c r="D89" i="4"/>
  <c r="D73" i="4"/>
  <c r="D72" i="4"/>
  <c r="D71" i="4"/>
  <c r="D70" i="4"/>
  <c r="D69" i="4"/>
  <c r="D118" i="4"/>
  <c r="D116" i="4"/>
  <c r="D114" i="4"/>
  <c r="D105" i="4"/>
  <c r="D103" i="4"/>
  <c r="D102" i="4"/>
  <c r="D100" i="4"/>
  <c r="D99" i="4"/>
  <c r="D98" i="4"/>
  <c r="D132" i="4"/>
  <c r="D130" i="4"/>
  <c r="D126" i="4"/>
  <c r="D125" i="4"/>
  <c r="D124" i="4"/>
  <c r="D122" i="4"/>
  <c r="D144" i="4"/>
  <c r="D143" i="4"/>
  <c r="D142" i="4"/>
  <c r="D140" i="4"/>
  <c r="D139" i="4"/>
  <c r="D149" i="4"/>
  <c r="D150" i="4"/>
  <c r="D152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<sst xmlns="http://schemas.openxmlformats.org/spreadsheetml/2006/main" count="392" uniqueCount="267">
  <si>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</si>
  <si>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</si>
  <si>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</si>
  <si>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</si>
  <si>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</si>
  <si>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</si>
  <si>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</si>
  <si>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</si>
  <si>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</si>
  <si>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</si>
  <si>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</si>
  <si>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</si>
  <si>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</si>
  <si>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</si>
  <si>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</si>
  <si>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</si>
  <si>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</si>
  <si>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</si>
  <si>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</si>
  <si>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</si>
  <si>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</si>
  <si>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</si>
  <si>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</si>
  <si>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</si>
  <si>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</si>
  <si>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</si>
  <si>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</si>
  <si>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</si>
  <si>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</si>
  <si>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</si>
  <si>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</si>
  <si>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</si>
  <si>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</si>
  <si>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</si>
  <si>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</si>
  <si>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</si>
  <si>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</si>
  <si>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</si>
  <si>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</si>
  <si>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</si>
  <si>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</si>
  <si>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</si>
  <si>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</si>
  <si>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</si>
  <si>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</si>
  <si>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</si>
  <si>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</si>
  <si>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</si>
  <si>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</si>
  <si>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</si>
  <si>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</si>
  <si>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</si>
  <si>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</si>
  <si>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</si>
  <si>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</si>
  <si>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</si>
  <si>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</si>
  <si>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</si>
  <si>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</si>
  <si>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</si>
  <si>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</si>
  <si>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</si>
  <si>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</si>
  <si>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</si>
  <si>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</si>
  <si>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</si>
  <si>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</si>
  <si>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</si>
  <si>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</si>
  <si>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</si>
  <si>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</si>
  <si>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</si>
  <si>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</si>
  <si>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</si>
  <si>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</si>
  <si>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</si>
  <si>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</si>
  <si>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</si>
  <si>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</si>
  <si>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</si>
  <si>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</si>
  <si>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</si>
  <si>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</si>
  <si>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</si>
  <si>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</si>
  <si>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</si>
  <si>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</si>
  <si>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</si>
  <si>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</si>
  <si>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</si>
  <si>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</si>
  <si>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</si>
  <si>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</si>
  <si>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</si>
  <si>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</si>
  <si>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</si>
  <si>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</si>
  <si>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</si>
  <si>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</si>
  <si>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</si>
  <si>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</si>
  <si>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</si>
  <si>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</si>
  <si>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</si>
  <si>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</si>
  <si>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</si>
  <si>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</si>
  <si>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</si>
  <si>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</si>
  <si>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</si>
  <si>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</si>
  <si>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</si>
  <si>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</si>
  <si>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</si>
  <si>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</si>
  <si>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</si>
  <si>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</si>
  <si>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</si>
  <si>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</si>
  <si>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</si>
  <si>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</si>
  <si>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</si>
  <si>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</si>
  <si>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</si>
  <si>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</si>
  <si>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</si>
  <si>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</si>
  <si>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</si>
  <si>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</si>
  <si>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</si>
  <si>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</si>
  <si>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</si>
  <si>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</si>
  <si>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</si>
  <si>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</si>
  <si>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</si>
  <si>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</si>
  <si>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</si>
  <si>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</si>
  <si>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</si>
  <si>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</si>
  <si>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</si>
  <si>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</si>
  <si>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</si>
  <si>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</si>
  <si>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</si>
  <si>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</si>
  <si>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</si>
  <si>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</si>
  <si>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</si>
  <si>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</si>
  <si>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</si>
  <si>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</si>
  <si>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</si>
  <si>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</si>
  <si>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</si>
  <si>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</si>
  <si>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</si>
  <si>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</si>
  <si>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</si>
  <si>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</si>
  <si>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</si>
  <si>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</si>
  <si>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</si>
  <si>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</si>
  <si>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</si>
  <si>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</si>
  <si>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</si>
  <si>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</si>
  <si>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</si>
  <si>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</si>
  <si>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</si>
  <si>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</si>
  <si>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</si>
  <si>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</si>
  <si>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</si>
  <si>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</si>
  <si>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</si>
  <si>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</si>
  <si>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</si>
  <si>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</si>
  <si>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</si>
  <si>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</si>
  <si>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</si>
  <si>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</si>
  <si>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</si>
  <si>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</si>
  <si>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</si>
  <si>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</si>
  <si>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</si>
  <si>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</si>
  <si>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</si>
  <si>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</si>
  <si>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</si>
  <si>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</si>
  <si>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</si>
  <si>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</si>
  <si>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</si>
  <si>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</si>
  <si>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</si>
  <si>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</si>
  <si>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</si>
  <si>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</si>
  <si>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</si>
  <si>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</si>
  <si>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</si>
  <si>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</si>
  <si>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</si>
  <si>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</si>
  <si>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</si>
  <si>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</si>
  <si>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</si>
  <si>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</si>
  <si>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</si>
  <si>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</si>
  <si>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</si>
  <si>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</si>
  <si>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</si>
  <si>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</si>
  <si>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</si>
  <si>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</si>
  <si>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</si>
  <si>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</si>
  <si>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</si>
  <si>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</si>
  <si>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</si>
  <si>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</si>
  <si>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</si>
  <si>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</si>
  <si>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</si>
  <si>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</si>
  <si>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</si>
  <si>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</si>
  <si>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</si>
  <si>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</si>
  <si>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</si>
  <si>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</si>
  <si>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</si>
  <si>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</si>
  <si>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</si>
  <si>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</si>
  <si>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</si>
  <si>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</si>
  <si>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</si>
  <si>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</si>
  <si>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</si>
  <si>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</si>
  <si>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</si>
  <si>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인천병무지청 사무동 증축(건축분야)</t>
    <phoneticPr fontId="2" type="noConversion"/>
  </si>
  <si>
    <t>업무</t>
  </si>
  <si>
    <t>인천시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</si>
  <si>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</si>
  <si>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</si>
  <si>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</si>
  <si>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기초공사,해체및철거공사,골재비및운반비,작업부산물,기타공사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</si>
  <si>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</si>
  <si>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</si>
  <si>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</si>
  <si>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</si>
  <si>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</si>
  <si>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오수공사</t>
    <phoneticPr fontId="2" type="noConversion"/>
  </si>
  <si>
    <t>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</si>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</sst>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2622.23</v>
      </c>
      <c r="D7" s="36">
        <f>+C7/3.3058</f>
        <v>793.2210055054752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783160</v>
      </c>
      <c r="E25" s="59">
        <f t="shared" si="0"/>
        <v>2588970</v>
      </c>
    </row>
    <row r="26" spans="1:5" x14ac:dyDescent="0.3">
      <c r="B26" s="2">
        <v>3</v>
      </c>
      <c r="C26" s="35" t="s">
        <v>95</v>
      </c>
      <c r="D26" s="45">
        <f>+D66</f>
        <v>76560</v>
      </c>
      <c r="E26" s="59">
        <f t="shared" si="0"/>
        <v>253090</v>
      </c>
    </row>
    <row r="27" spans="1:5" x14ac:dyDescent="0.3">
      <c r="B27" s="2">
        <v>4</v>
      </c>
      <c r="C27" s="35" t="s">
        <v>96</v>
      </c>
      <c r="D27" s="45">
        <f>+D95</f>
        <v>196690</v>
      </c>
      <c r="E27" s="59">
        <f t="shared" si="0"/>
        <v>650210</v>
      </c>
    </row>
    <row r="28" spans="1:5" x14ac:dyDescent="0.3">
      <c r="B28" s="2">
        <v>5</v>
      </c>
      <c r="C28" s="35" t="s">
        <v>97</v>
      </c>
      <c r="D28" s="45">
        <f>+D119</f>
        <v>297280</v>
      </c>
      <c r="E28" s="59">
        <f t="shared" si="0"/>
        <v>982740</v>
      </c>
    </row>
    <row r="29" spans="1:5" x14ac:dyDescent="0.3">
      <c r="B29" s="2">
        <v>6</v>
      </c>
      <c r="C29" s="35" t="s">
        <v>98</v>
      </c>
      <c r="D29" s="45">
        <f>+D133</f>
        <v>133720</v>
      </c>
      <c r="E29" s="59">
        <f t="shared" si="0"/>
        <v>442050</v>
      </c>
    </row>
    <row r="30" spans="1:5" x14ac:dyDescent="0.3">
      <c r="B30" s="2">
        <v>7</v>
      </c>
      <c r="C30" s="35" t="s">
        <v>99</v>
      </c>
      <c r="D30" s="45">
        <f>+D146</f>
        <v>59120</v>
      </c>
      <c r="E30" s="59">
        <f t="shared" si="0"/>
        <v>195430</v>
      </c>
    </row>
    <row r="31" spans="1:5" x14ac:dyDescent="0.3">
      <c r="B31" s="2">
        <v>8</v>
      </c>
      <c r="C31" s="35" t="s">
        <v>100</v>
      </c>
      <c r="D31" s="45">
        <f>+D154</f>
        <v>29720</v>
      </c>
      <c r="E31" s="59">
        <f t="shared" si="0"/>
        <v>98240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433460</v>
      </c>
      <c r="E33" s="60">
        <f t="shared" si="0"/>
        <v>1432930</v>
      </c>
    </row>
    <row r="34" spans="1:7" x14ac:dyDescent="0.3">
      <c r="C34" s="35" t="s">
        <v>112</v>
      </c>
      <c r="D34" s="44">
        <f>SUM(D24:D33)</f>
        <v>2009710</v>
      </c>
      <c r="E34" s="44">
        <f>SUM(E24:E33)</f>
        <v>6643660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TRUNC(59201,-1)</f>
        <v>59200</v>
      </c>
      <c r="E40" s="62">
        <f t="shared" ref="E40:E59" si="1">TRUNC(+D40*3.3058,-1)</f>
        <v>195700</v>
      </c>
    </row>
    <row r="41" spans="1:7" x14ac:dyDescent="0.3">
      <c r="A41" s="2">
        <v>2</v>
      </c>
      <c r="C41" s="38" t="s">
        <v>13</v>
      </c>
      <c r="D41" s="42">
        <f>TRUNC(185626,-1)</f>
        <v>185620</v>
      </c>
      <c r="E41" s="63">
        <f t="shared" si="1"/>
        <v>613620</v>
      </c>
    </row>
    <row r="42" spans="1:7" x14ac:dyDescent="0.3">
      <c r="A42" s="2">
        <v>3</v>
      </c>
      <c r="C42" s="38" t="s">
        <v>14</v>
      </c>
      <c r="D42" s="42">
        <f>TRUNC(37050,-1)</f>
        <v>37050</v>
      </c>
      <c r="E42" s="63">
        <f t="shared" si="1"/>
        <v>122470</v>
      </c>
    </row>
    <row r="43" spans="1:7" x14ac:dyDescent="0.3">
      <c r="A43" s="2">
        <v>4</v>
      </c>
      <c r="C43" s="38" t="s">
        <v>16</v>
      </c>
      <c r="D43" s="42">
        <f>TRUNC(23119,-1)</f>
        <v>23110</v>
      </c>
      <c r="E43" s="63">
        <f t="shared" si="1"/>
        <v>76390</v>
      </c>
    </row>
    <row r="44" spans="1:7" x14ac:dyDescent="0.3">
      <c r="A44" s="2">
        <v>5</v>
      </c>
      <c r="C44" s="38" t="s">
        <v>17</v>
      </c>
      <c r="D44" s="42">
        <f>TRUNC(24140,-1)</f>
        <v>24140</v>
      </c>
      <c r="E44" s="63">
        <f t="shared" si="1"/>
        <v>79800</v>
      </c>
    </row>
    <row r="45" spans="1:7" x14ac:dyDescent="0.3">
      <c r="A45" s="2">
        <v>6</v>
      </c>
      <c r="C45" s="38" t="s">
        <v>18</v>
      </c>
      <c r="D45" s="42">
        <f>TRUNC(13292,-1)</f>
        <v>13290</v>
      </c>
      <c r="E45" s="63">
        <f t="shared" si="1"/>
        <v>43930</v>
      </c>
    </row>
    <row r="46" spans="1:7" x14ac:dyDescent="0.3">
      <c r="A46" s="2">
        <v>7</v>
      </c>
      <c r="C46" s="38" t="s">
        <v>19</v>
      </c>
      <c r="D46" s="42">
        <f>TRUNC(9431,-1)</f>
        <v>9430</v>
      </c>
      <c r="E46" s="63">
        <f t="shared" si="1"/>
        <v>31170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TRUNC(27942,-1)</f>
        <v>27940</v>
      </c>
      <c r="E48" s="63">
        <f t="shared" si="1"/>
        <v>92360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TRUNC(43659,-1)</f>
        <v>43650</v>
      </c>
      <c r="E49" s="63">
        <f t="shared" si="1"/>
        <v>144290</v>
      </c>
    </row>
    <row r="50" spans="1:7" x14ac:dyDescent="0.3">
      <c r="A50" s="2">
        <v>11</v>
      </c>
      <c r="C50" s="38" t="s">
        <v>155</v>
      </c>
      <c r="D50" s="42">
        <f>TRUNC(34387,-1)</f>
        <v>34380</v>
      </c>
      <c r="E50" s="63">
        <f t="shared" si="1"/>
        <v>113650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TRUNC(59370,-1)</f>
        <v>59370</v>
      </c>
      <c r="E52" s="63">
        <f t="shared" si="1"/>
        <v>196260</v>
      </c>
    </row>
    <row r="53" spans="1:7" x14ac:dyDescent="0.3">
      <c r="A53" s="2">
        <v>14</v>
      </c>
      <c r="C53" s="38" t="s">
        <v>25</v>
      </c>
      <c r="D53" s="42">
        <f>TRUNC(65514,-1)</f>
        <v>65510</v>
      </c>
      <c r="E53" s="63">
        <f t="shared" si="1"/>
        <v>216560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TRUNC(1328+14153+9159-2098+8453,-1)</f>
        <v>30990</v>
      </c>
      <c r="E58" s="63">
        <f t="shared" si="1"/>
        <v>102440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TRUNC(169485,-1)</f>
        <v>169480</v>
      </c>
      <c r="E59" s="64">
        <f t="shared" si="1"/>
        <v>560260</v>
      </c>
    </row>
    <row r="60" spans="1:7" x14ac:dyDescent="0.3">
      <c r="A60" s="2">
        <v>21</v>
      </c>
      <c r="C60" s="27" t="s">
        <v>112</v>
      </c>
      <c r="D60" s="39">
        <f>SUM(D40:D59)</f>
        <v>783160</v>
      </c>
      <c r="E60" s="39">
        <f>SUM(E40:E59)</f>
        <v>2588900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TRUNC(8040,-1)</f>
        <v>8040</v>
      </c>
      <c r="E63" s="62">
        <f>TRUNC(+D63*3.3058,-1)</f>
        <v>26570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TRUNC(68529,-1)</f>
        <v>68520</v>
      </c>
      <c r="E65" s="64">
        <f>TRUNC(+D65*3.3058,-1)</f>
        <v>226510</v>
      </c>
    </row>
    <row r="66" spans="1:7" x14ac:dyDescent="0.3">
      <c r="A66" s="2">
        <v>4</v>
      </c>
      <c r="C66" s="27" t="s">
        <v>112</v>
      </c>
      <c r="D66" s="39">
        <f>SUM(D63:D65)</f>
        <v>76560</v>
      </c>
      <c r="E66" s="65">
        <f>SUM(E63:E65)</f>
        <v>253080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TRUNC(17113,-1)</f>
        <v>17110</v>
      </c>
      <c r="E69" s="62">
        <f t="shared" ref="E69:E94" si="2">TRUNC(+D69*3.3058,-1)</f>
        <v>56560</v>
      </c>
    </row>
    <row r="70" spans="1:7" ht="16.5" customHeight="1" x14ac:dyDescent="0.3">
      <c r="A70" s="2">
        <v>2</v>
      </c>
      <c r="C70" s="38" t="s">
        <v>31</v>
      </c>
      <c r="D70" s="42">
        <f>TRUNC(441,-1)</f>
        <v>440</v>
      </c>
      <c r="E70" s="63">
        <f t="shared" si="2"/>
        <v>1450</v>
      </c>
    </row>
    <row r="71" spans="1:7" x14ac:dyDescent="0.3">
      <c r="A71" s="2">
        <v>3</v>
      </c>
      <c r="C71" s="38" t="s">
        <v>32</v>
      </c>
      <c r="D71" s="42">
        <f>TRUNC(11307,-1)</f>
        <v>11300</v>
      </c>
      <c r="E71" s="63">
        <f t="shared" si="2"/>
        <v>37350</v>
      </c>
    </row>
    <row r="72" spans="1:7" x14ac:dyDescent="0.3">
      <c r="A72" s="2">
        <v>4</v>
      </c>
      <c r="C72" s="38" t="s">
        <v>33</v>
      </c>
      <c r="D72" s="42">
        <f>TRUNC(9143,-1)</f>
        <v>9140</v>
      </c>
      <c r="E72" s="63">
        <f t="shared" si="2"/>
        <v>30210</v>
      </c>
    </row>
    <row r="73" spans="1:7" x14ac:dyDescent="0.3">
      <c r="A73" s="2">
        <v>5</v>
      </c>
      <c r="C73" s="38" t="s">
        <v>34</v>
      </c>
      <c r="D73" s="42">
        <f>TRUNC(9480,-1)</f>
        <v>9480</v>
      </c>
      <c r="E73" s="63">
        <f t="shared" si="2"/>
        <v>31330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TRUNC(5467,-1)</f>
        <v>5460</v>
      </c>
      <c r="E89" s="63">
        <f t="shared" si="2"/>
        <v>18040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TRUNC(3884,-1)</f>
        <v>3880</v>
      </c>
      <c r="E91" s="63">
        <f t="shared" si="2"/>
        <v>12820</v>
      </c>
    </row>
    <row r="92" spans="1:7" x14ac:dyDescent="0.3">
      <c r="A92" s="2">
        <v>24</v>
      </c>
      <c r="C92" s="38" t="s">
        <v>38</v>
      </c>
      <c r="D92" s="42">
        <f>TRUNC(9655,-1)</f>
        <v>9650</v>
      </c>
      <c r="E92" s="63">
        <f t="shared" si="2"/>
        <v>31900</v>
      </c>
    </row>
    <row r="93" spans="1:7" x14ac:dyDescent="0.3">
      <c r="A93" s="2">
        <v>25</v>
      </c>
      <c r="C93" s="38" t="s">
        <v>148</v>
      </c>
      <c r="D93" s="42">
        <f>TRUNC(123162,-1)</f>
        <v>123160</v>
      </c>
      <c r="E93" s="63">
        <f t="shared" si="2"/>
        <v>407140</v>
      </c>
    </row>
    <row r="94" spans="1:7" ht="17.25" thickBot="1" x14ac:dyDescent="0.35">
      <c r="A94" s="2">
        <v>26</v>
      </c>
      <c r="C94" s="38" t="s">
        <v>47</v>
      </c>
      <c r="D94" s="43">
        <f>TRUNC(572+6505,-1)</f>
        <v>7070</v>
      </c>
      <c r="E94" s="64">
        <f t="shared" si="2"/>
        <v>23370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196690</v>
      </c>
      <c r="E95" s="39">
        <f>SUM(E69:E94)</f>
        <v>650170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TRUNC(23512,-1)</f>
        <v>23510</v>
      </c>
      <c r="E98" s="62">
        <f t="shared" ref="E98:E118" si="3">TRUNC(+D98*3.3058,-1)</f>
        <v>77710</v>
      </c>
    </row>
    <row r="99" spans="1:7" x14ac:dyDescent="0.3">
      <c r="A99" s="2">
        <v>2</v>
      </c>
      <c r="C99" s="38" t="s">
        <v>40</v>
      </c>
      <c r="D99" s="42">
        <f>TRUNC(6067,-1)</f>
        <v>6060</v>
      </c>
      <c r="E99" s="63">
        <f t="shared" si="3"/>
        <v>20030</v>
      </c>
    </row>
    <row r="100" spans="1:7" x14ac:dyDescent="0.3">
      <c r="A100" s="2">
        <v>3</v>
      </c>
      <c r="C100" s="38" t="s">
        <v>41</v>
      </c>
      <c r="D100" s="42">
        <f>TRUNC(47395,-1)</f>
        <v>47390</v>
      </c>
      <c r="E100" s="63">
        <f t="shared" si="3"/>
        <v>156660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TRUNC(24333,-1)</f>
        <v>24330</v>
      </c>
      <c r="E102" s="63">
        <f t="shared" si="3"/>
        <v>80430</v>
      </c>
    </row>
    <row r="103" spans="1:7" x14ac:dyDescent="0.3">
      <c r="A103" s="2">
        <v>6</v>
      </c>
      <c r="C103" s="38" t="s">
        <v>44</v>
      </c>
      <c r="D103" s="42">
        <f>TRUNC(9603,-1)</f>
        <v>9600</v>
      </c>
      <c r="E103" s="63">
        <f t="shared" si="3"/>
        <v>31730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TRUNC(4927,-1)</f>
        <v>4920</v>
      </c>
      <c r="E105" s="63">
        <f t="shared" si="3"/>
        <v>16260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TRUNC(4277,-1)</f>
        <v>4270</v>
      </c>
      <c r="E114" s="63">
        <f t="shared" si="3"/>
        <v>14110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TRUNC(18213,-1)</f>
        <v>18210</v>
      </c>
      <c r="E116" s="63">
        <f t="shared" si="3"/>
        <v>60190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TRUNC(155641,-1)</f>
        <v>155640</v>
      </c>
      <c r="E117" s="63">
        <f t="shared" si="3"/>
        <v>514510</v>
      </c>
    </row>
    <row r="118" spans="1:7" ht="17.25" thickBot="1" x14ac:dyDescent="0.35">
      <c r="A118" s="2">
        <v>21</v>
      </c>
      <c r="C118" s="38" t="s">
        <v>47</v>
      </c>
      <c r="D118" s="43">
        <f>TRUNC(1748+1603,-1)</f>
        <v>3350</v>
      </c>
      <c r="E118" s="64">
        <f t="shared" si="3"/>
        <v>11070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297280</v>
      </c>
      <c r="E119" s="39">
        <f>SUM(E98:E118)</f>
        <v>982700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TRUNC(6480,-1)</f>
        <v>6480</v>
      </c>
      <c r="E122" s="62">
        <f t="shared" ref="E122:E132" si="4">TRUNC(+D122*3.3058,-1)</f>
        <v>21420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TRUNC(5887,-1)</f>
        <v>5880</v>
      </c>
      <c r="E124" s="63">
        <f t="shared" si="4"/>
        <v>19430</v>
      </c>
    </row>
    <row r="125" spans="1:7" x14ac:dyDescent="0.3">
      <c r="A125" s="2">
        <v>4</v>
      </c>
      <c r="C125" s="38" t="s">
        <v>138</v>
      </c>
      <c r="D125" s="42">
        <f>TRUNC(9838,-1)</f>
        <v>9830</v>
      </c>
      <c r="E125" s="63">
        <f t="shared" si="4"/>
        <v>32490</v>
      </c>
    </row>
    <row r="126" spans="1:7" x14ac:dyDescent="0.3">
      <c r="A126" s="2">
        <v>5</v>
      </c>
      <c r="C126" s="38" t="s">
        <v>53</v>
      </c>
      <c r="D126" s="42">
        <f>TRUNC(3616,-1)</f>
        <v>3610</v>
      </c>
      <c r="E126" s="63">
        <f t="shared" si="4"/>
        <v>11930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TRUNC(48464,-1)</f>
        <v>48460</v>
      </c>
      <c r="E130" s="63">
        <f t="shared" si="4"/>
        <v>160190</v>
      </c>
    </row>
    <row r="131" spans="1:7" x14ac:dyDescent="0.3">
      <c r="A131" s="2">
        <v>10</v>
      </c>
      <c r="C131" s="38" t="s">
        <v>148</v>
      </c>
      <c r="D131" s="42">
        <f>TRUNC(50566,-1)</f>
        <v>50560</v>
      </c>
      <c r="E131" s="63">
        <f t="shared" si="4"/>
        <v>167140</v>
      </c>
    </row>
    <row r="132" spans="1:7" ht="18" thickBot="1" x14ac:dyDescent="0.35">
      <c r="A132" s="2">
        <v>11</v>
      </c>
      <c r="C132" s="38" t="s">
        <v>47</v>
      </c>
      <c r="D132" s="43">
        <f>TRUNC(8904,-1)</f>
        <v>8900</v>
      </c>
      <c r="E132" s="64">
        <f t="shared" si="4"/>
        <v>29420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133720</v>
      </c>
      <c r="E133" s="39">
        <f>SUM(E122:E132)</f>
        <v>442020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TRUNC(1097,-1)</f>
        <v>1090</v>
      </c>
      <c r="E139" s="63">
        <f t="shared" si="5"/>
        <v>3600</v>
      </c>
    </row>
    <row r="140" spans="1:7" x14ac:dyDescent="0.3">
      <c r="A140" s="2">
        <v>5</v>
      </c>
      <c r="C140" s="38" t="s">
        <v>57</v>
      </c>
      <c r="D140" s="42">
        <f>TRUNC(2279,-1)</f>
        <v>2270</v>
      </c>
      <c r="E140" s="63">
        <f t="shared" si="5"/>
        <v>7500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TRUNC(10541,-1)</f>
        <v>10540</v>
      </c>
      <c r="E142" s="63">
        <f t="shared" si="5"/>
        <v>34840</v>
      </c>
    </row>
    <row r="143" spans="1:7" x14ac:dyDescent="0.3">
      <c r="A143" s="2">
        <v>8</v>
      </c>
      <c r="C143" s="38" t="s">
        <v>62</v>
      </c>
      <c r="D143" s="42">
        <f>TRUNC(6859,-1)</f>
        <v>6850</v>
      </c>
      <c r="E143" s="63">
        <f t="shared" si="5"/>
        <v>22640</v>
      </c>
    </row>
    <row r="144" spans="1:7" x14ac:dyDescent="0.3">
      <c r="A144" s="2">
        <v>9</v>
      </c>
      <c r="C144" s="38" t="s">
        <v>63</v>
      </c>
      <c r="D144" s="42">
        <f>TRUNC(38374,-1)</f>
        <v>38370</v>
      </c>
      <c r="E144" s="63">
        <f t="shared" si="5"/>
        <v>126840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59120</v>
      </c>
      <c r="E146" s="39">
        <f>SUM(E136:E145)</f>
        <v>195420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TRUNC(3007,-1)</f>
        <v>3000</v>
      </c>
      <c r="E149" s="62">
        <f>TRUNC(+D149*3.3058,-1)</f>
        <v>9910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TRUNC(9233,-1)</f>
        <v>9230</v>
      </c>
      <c r="E150" s="63">
        <f>TRUNC(+D150*3.3058,-1)</f>
        <v>30510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TRUNC(730+1267,-1)</f>
        <v>1990</v>
      </c>
      <c r="E152" s="63">
        <f>TRUNC(+D152*3.3058,-1)</f>
        <v>6570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TRUNC(15508,-1)</f>
        <v>15500</v>
      </c>
      <c r="E153" s="64">
        <f>TRUNC(+D153*3.3058,-1)</f>
        <v>51230</v>
      </c>
    </row>
    <row r="154" spans="1:7" x14ac:dyDescent="0.3">
      <c r="A154" s="2">
        <v>6</v>
      </c>
      <c r="C154" s="27" t="s">
        <v>112</v>
      </c>
      <c r="D154" s="39">
        <f>SUM(D149:D153)</f>
        <v>29720</v>
      </c>
      <c r="E154" s="39">
        <f>SUM(E149:E153)</f>
        <v>98220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2020-12-08T02:24:02Z</dcterms:modified>
</cp:coreProperties>
</file>