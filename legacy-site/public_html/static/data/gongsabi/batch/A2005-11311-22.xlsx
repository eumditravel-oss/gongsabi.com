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4" i="4"/>
  <c r="E122" i="4"/>
  <c r="E116" i="4"/>
  <c r="E114" i="4"/>
  <c r="E113" i="4"/>
  <c r="E112" i="4"/>
  <c r="E111" i="4"/>
  <c r="E110" i="4"/>
  <c r="E109" i="4"/>
  <c r="E107" i="4"/>
  <c r="E106" i="4"/>
  <c r="E104" i="4"/>
  <c r="E103" i="4"/>
  <c r="E101" i="4"/>
  <c r="E98" i="4"/>
  <c r="E94" i="4"/>
  <c r="E91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65" i="4"/>
  <c r="E64" i="4"/>
  <c r="E57" i="4"/>
  <c r="E56" i="4"/>
  <c r="E54" i="4"/>
  <c r="E44" i="4"/>
  <c r="E37" i="4"/>
  <c r="E161" i="4" l="1"/>
  <c r="D59" i="4"/>
  <c r="E59" i="4" s="1"/>
  <c r="D123" i="4"/>
  <c r="E123" i="4" s="1"/>
  <c r="D132" i="4"/>
  <c r="E132" i="4" s="1"/>
  <c r="D99" i="4"/>
  <c r="E99" i="4" s="1"/>
  <c r="D118" i="4"/>
  <c r="E118" i="4" s="1"/>
  <c r="D117" i="4" l="1"/>
  <c r="E117" i="4" s="1"/>
  <c r="D161" i="4" l="1"/>
  <c r="D152" i="4"/>
  <c r="E152" i="4" s="1"/>
  <c r="D151" i="4"/>
  <c r="E151" i="4" s="1"/>
  <c r="D150" i="4"/>
  <c r="E150" i="4" s="1"/>
  <c r="D149" i="4"/>
  <c r="D145" i="4"/>
  <c r="E145" i="4" s="1"/>
  <c r="E146" i="4" s="1"/>
  <c r="D131" i="4"/>
  <c r="E131" i="4" s="1"/>
  <c r="D125" i="4"/>
  <c r="E125" i="4" s="1"/>
  <c r="D115" i="4"/>
  <c r="E115" i="4" s="1"/>
  <c r="D108" i="4"/>
  <c r="E108" i="4" s="1"/>
  <c r="D105" i="4"/>
  <c r="E105" i="4" s="1"/>
  <c r="D102" i="4"/>
  <c r="E102" i="4" s="1"/>
  <c r="D100" i="4"/>
  <c r="E100" i="4" s="1"/>
  <c r="D93" i="4"/>
  <c r="E93" i="4" s="1"/>
  <c r="D92" i="4"/>
  <c r="E92" i="4" s="1"/>
  <c r="D90" i="4"/>
  <c r="E90" i="4" s="1"/>
  <c r="D89" i="4"/>
  <c r="E89" i="4" s="1"/>
  <c r="D79" i="4"/>
  <c r="E79" i="4" s="1"/>
  <c r="D73" i="4"/>
  <c r="E73" i="4" s="1"/>
  <c r="D72" i="4"/>
  <c r="E72" i="4" s="1"/>
  <c r="D71" i="4"/>
  <c r="D70" i="4"/>
  <c r="E70" i="4" s="1"/>
  <c r="D69" i="4"/>
  <c r="E69" i="4" s="1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3" i="4"/>
  <c r="E43" i="4" s="1"/>
  <c r="D42" i="4"/>
  <c r="E42" i="4" s="1"/>
  <c r="D41" i="4"/>
  <c r="E41" i="4" s="1"/>
  <c r="D40" i="4"/>
  <c r="D32" i="4"/>
  <c r="E32" i="4" s="1"/>
  <c r="D24" i="4"/>
  <c r="E24" i="4" s="1"/>
  <c r="D7" i="4"/>
  <c r="D95" i="4" l="1"/>
  <c r="D27" i="4" s="1"/>
  <c r="E27" i="4" s="1"/>
  <c r="E71" i="4"/>
  <c r="E119" i="4"/>
  <c r="D66" i="4"/>
  <c r="D26" i="4" s="1"/>
  <c r="E26" i="4" s="1"/>
  <c r="E63" i="4"/>
  <c r="E66" i="4" s="1"/>
  <c r="D119" i="4"/>
  <c r="D28" i="4" s="1"/>
  <c r="E28" i="4" s="1"/>
  <c r="D60" i="4"/>
  <c r="D25" i="4" s="1"/>
  <c r="E25" i="4" s="1"/>
  <c r="E40" i="4"/>
  <c r="E60" i="4" s="1"/>
  <c r="E95" i="4"/>
  <c r="D133" i="4"/>
  <c r="D29" i="4" s="1"/>
  <c r="E29" i="4" s="1"/>
  <c r="D146" i="4"/>
  <c r="D30" i="4" s="1"/>
  <c r="E30" i="4" s="1"/>
  <c r="E133" i="4"/>
  <c r="D154" i="4"/>
  <c r="D31" i="4" s="1"/>
  <c r="E31" i="4" s="1"/>
  <c r="E149" i="4"/>
  <c r="E154" i="4" s="1"/>
  <c r="D33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<sst xmlns="http://schemas.openxmlformats.org/spreadsheetml/2006/main" count="398" uniqueCount="273">
  <si>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</si>
  <si>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</si>
  <si>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</si>
  <si>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</si>
  <si>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</si>
  <si>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</si>
  <si>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</si>
  <si>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</si>
  <si>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</si>
  <si>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</si>
  <si>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</si>
  <si>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</si>
  <si>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</si>
  <si>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</si>
  <si>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</si>
  <si>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</si>
  <si>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</si>
  <si>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</si>
  <si>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</si>
  <si>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</si>
  <si>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</si>
  <si>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</si>
  <si>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</si>
  <si>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</si>
  <si>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</si>
  <si>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</si>
  <si>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</si>
  <si>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</si>
  <si>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</si>
  <si>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</si>
  <si>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</si>
  <si>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</si>
  <si>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</si>
  <si>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</si>
  <si>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</si>
  <si>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</si>
  <si>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</si>
  <si>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</si>
  <si>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</si>
  <si>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</si>
  <si>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</si>
  <si>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</si>
  <si>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</si>
  <si>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</si>
  <si>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</si>
  <si>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</si>
  <si>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</si>
  <si>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</si>
  <si>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</si>
  <si>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</si>
  <si>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</si>
  <si>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</si>
  <si>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</si>
  <si>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</si>
  <si>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</si>
  <si>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</si>
  <si>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</si>
  <si>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</si>
  <si>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</si>
  <si>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</si>
  <si>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</si>
  <si>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</si>
  <si>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</si>
  <si>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</si>
  <si>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</si>
  <si>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</si>
  <si>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</si>
  <si>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</si>
  <si>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</si>
  <si>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</si>
  <si>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</si>
  <si>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</si>
  <si>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</si>
  <si>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</si>
  <si>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</si>
  <si>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</si>
  <si>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</si>
  <si>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</si>
  <si>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</si>
  <si>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</si>
  <si>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</si>
  <si>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</si>
  <si>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</si>
  <si>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</si>
  <si>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</si>
  <si>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</si>
  <si>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</si>
  <si>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</si>
  <si>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</si>
  <si>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</si>
  <si>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</si>
  <si>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</si>
  <si>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</si>
  <si>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</si>
  <si>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</si>
  <si>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</si>
  <si>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</si>
  <si>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</si>
  <si>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</si>
  <si>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</si>
  <si>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</si>
  <si>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</si>
  <si>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</si>
  <si>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</si>
  <si>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</si>
  <si>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</si>
  <si>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</si>
  <si>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</si>
  <si>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</si>
  <si>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</si>
  <si>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</si>
  <si>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</si>
  <si>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</si>
  <si>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</si>
  <si>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</si>
  <si>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</si>
  <si>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</si>
  <si>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</si>
  <si>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</si>
  <si>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</si>
  <si>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</si>
  <si>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</si>
  <si>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</si>
  <si>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</si>
  <si>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</si>
  <si>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</si>
  <si>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</si>
  <si>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</si>
  <si>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</si>
  <si>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</si>
  <si>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</si>
  <si>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</si>
  <si>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</si>
  <si>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</si>
  <si>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</si>
  <si>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</si>
  <si>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</si>
  <si>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</si>
  <si>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</si>
  <si>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</si>
  <si>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</si>
  <si>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</si>
  <si>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</si>
  <si>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</si>
  <si>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</si>
  <si>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</si>
  <si>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</si>
  <si>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</si>
  <si>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</si>
  <si>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</si>
  <si>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</si>
  <si>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</si>
  <si>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</si>
  <si>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</si>
  <si>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</si>
  <si>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</si>
  <si>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</si>
  <si>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</si>
  <si>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</si>
  <si>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</si>
  <si>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</si>
  <si>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</si>
  <si>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</si>
  <si>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</si>
  <si>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</si>
  <si>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</si>
  <si>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</si>
  <si>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</si>
  <si>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</si>
  <si>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</si>
  <si>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</si>
  <si>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</si>
  <si>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</si>
  <si>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</si>
  <si>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</si>
  <si>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</si>
  <si>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</si>
  <si>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</si>
  <si>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</si>
  <si>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</si>
  <si>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</si>
  <si>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</si>
  <si>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</si>
  <si>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</si>
  <si>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</si>
  <si>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</si>
  <si>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</si>
  <si>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</si>
  <si>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</si>
  <si>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</si>
  <si>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</si>
  <si>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</si>
  <si>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</si>
  <si>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</si>
  <si>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</si>
  <si>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</si>
  <si>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</si>
  <si>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</si>
  <si>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</si>
  <si>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</si>
  <si>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</si>
  <si>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</si>
  <si>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</si>
  <si>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</si>
  <si>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</si>
  <si>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</si>
  <si>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</si>
  <si>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</si>
  <si>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</si>
  <si>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</si>
  <si>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</si>
  <si>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</si>
  <si>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</si>
  <si>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</si>
  <si>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</si>
  <si>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</si>
  <si>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</si>
  <si>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</si>
  <si>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</si>
  <si>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</si>
  <si>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</si>
  <si>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</si>
  <si>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</si>
  <si>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</si>
  <si>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</si>
  <si>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</si>
  <si>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</si>
  <si>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</si>
  <si>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</si>
  <si>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</si>
  <si>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</si>
  <si>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</si>
  <si>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</si>
  <si>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</si>
  <si>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</si>
  <si>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</si>
  <si>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</si>
  <si>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</si>
  <si>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</si>
  <si>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</si>
  <si>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</si>
  <si>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</si>
  <si>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</si>
  <si>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</si>
  <si>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</si>
  <si>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</si>
  <si>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</si>
  <si>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00중학교 교사 신축공사</t>
  </si>
  <si>
    <t>충청도</t>
  </si>
  <si>
    <t>가설비,가설공사</t>
    <phoneticPr fontId="2" type="noConversion"/>
  </si>
  <si>
    <t>타일및석공사</t>
    <phoneticPr fontId="2" type="noConversion"/>
  </si>
  <si>
    <t>토및지정공사,조회대설치공사,정문설치공사,국기게양대설치공사,운반비,주요자재대,부산물공제</t>
    <phoneticPr fontId="2" type="noConversion"/>
  </si>
  <si>
    <t>옥외가스배관공사,옥내가스배관공사</t>
    <phoneticPr fontId="2" type="noConversion"/>
  </si>
  <si>
    <t>환기닥트설치공사</t>
  </si>
  <si>
    <t>TRAY 설비공사</t>
  </si>
  <si>
    <t>우수공사,오수공사</t>
    <phoneticPr fontId="2" type="noConversion"/>
  </si>
  <si>
    <t>운반비,부산물공제,지하수개발공사</t>
    <phoneticPr fontId="2" type="noConversion"/>
  </si>
  <si>
    <t>원/ m2</t>
    <phoneticPr fontId="2" type="noConversion"/>
  </si>
  <si>
    <t>도급자설치, 관급자설치</t>
    <phoneticPr fontId="2" type="noConversion"/>
  </si>
  <si>
    <t>관급자설치</t>
    <phoneticPr fontId="2" type="noConversion"/>
  </si>
  <si>
    <t>도급자, 관급자설치</t>
    <phoneticPr fontId="2" type="noConversion"/>
  </si>
  <si>
    <t>간선및분전반설비공사</t>
    <phoneticPr fontId="2" type="noConversion"/>
  </si>
  <si>
    <t>동력설비,주방동력설비공사</t>
    <phoneticPr fontId="2" type="noConversion"/>
  </si>
  <si>
    <t>방범설비공사,TEC TRAY 설비공사</t>
    <phoneticPr fontId="2" type="noConversion"/>
  </si>
  <si>
    <t>구내통신설비공사,구내전송설비공사, LAN 설비공사</t>
    <phoneticPr fontId="2" type="noConversion"/>
  </si>
  <si>
    <t>도급자설치</t>
    <phoneticPr fontId="2" type="noConversion"/>
  </si>
  <si>
    <t>ㄴ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</si>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</sst>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>
      <c r="A1" s="2" t="s">
        <v>266</v>
      </c>
    </row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8976</v>
      </c>
      <c r="D7" s="36">
        <f>+C7/3.3058</f>
        <v>2715.2277814749832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271</v>
      </c>
    </row>
    <row r="19" spans="1:5" x14ac:dyDescent="0.3">
      <c r="A19" s="2">
        <v>9</v>
      </c>
      <c r="B19" s="2" t="s">
        <v>272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267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534510</v>
      </c>
      <c r="E25" s="60">
        <f t="shared" si="0"/>
        <v>1766980</v>
      </c>
    </row>
    <row r="26" spans="1:5" x14ac:dyDescent="0.3">
      <c r="B26" s="2">
        <v>3</v>
      </c>
      <c r="C26" s="35" t="s">
        <v>95</v>
      </c>
      <c r="D26" s="45">
        <f>+D66</f>
        <v>11900</v>
      </c>
      <c r="E26" s="60">
        <f t="shared" si="0"/>
        <v>39330</v>
      </c>
    </row>
    <row r="27" spans="1:5" x14ac:dyDescent="0.3">
      <c r="B27" s="2">
        <v>4</v>
      </c>
      <c r="C27" s="35" t="s">
        <v>96</v>
      </c>
      <c r="D27" s="45">
        <f>+D95</f>
        <v>38040</v>
      </c>
      <c r="E27" s="60">
        <f t="shared" si="0"/>
        <v>125750</v>
      </c>
    </row>
    <row r="28" spans="1:5" x14ac:dyDescent="0.3">
      <c r="B28" s="2">
        <v>5</v>
      </c>
      <c r="C28" s="35" t="s">
        <v>97</v>
      </c>
      <c r="D28" s="45">
        <f>+D119</f>
        <v>99300</v>
      </c>
      <c r="E28" s="60">
        <f t="shared" si="0"/>
        <v>328260</v>
      </c>
    </row>
    <row r="29" spans="1:5" x14ac:dyDescent="0.3">
      <c r="B29" s="2">
        <v>6</v>
      </c>
      <c r="C29" s="35" t="s">
        <v>98</v>
      </c>
      <c r="D29" s="45">
        <f>+D133</f>
        <v>25120</v>
      </c>
      <c r="E29" s="60">
        <f t="shared" si="0"/>
        <v>83040</v>
      </c>
    </row>
    <row r="30" spans="1:5" x14ac:dyDescent="0.3">
      <c r="B30" s="2">
        <v>7</v>
      </c>
      <c r="C30" s="35" t="s">
        <v>99</v>
      </c>
      <c r="D30" s="45">
        <f>+D146</f>
        <v>58560</v>
      </c>
      <c r="E30" s="60">
        <f t="shared" si="0"/>
        <v>193580</v>
      </c>
    </row>
    <row r="31" spans="1:5" x14ac:dyDescent="0.3">
      <c r="B31" s="2">
        <v>8</v>
      </c>
      <c r="C31" s="35" t="s">
        <v>100</v>
      </c>
      <c r="D31" s="45">
        <f>+D154</f>
        <v>38700</v>
      </c>
      <c r="E31" s="60">
        <f t="shared" si="0"/>
        <v>127930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221680</v>
      </c>
      <c r="E33" s="61">
        <f t="shared" si="0"/>
        <v>732820</v>
      </c>
    </row>
    <row r="34" spans="1:7" x14ac:dyDescent="0.3">
      <c r="C34" s="35" t="s">
        <v>112</v>
      </c>
      <c r="D34" s="44">
        <f>SUM(D24:D33)</f>
        <v>1027810</v>
      </c>
      <c r="E34" s="44">
        <f>SUM(E24:E33)</f>
        <v>3397690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234</v>
      </c>
      <c r="E36" s="56" t="s">
        <v>267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268</v>
      </c>
      <c r="E39" s="67" t="s">
        <v>269</v>
      </c>
      <c r="G39" s="68"/>
    </row>
    <row r="40" spans="1:7" x14ac:dyDescent="0.3">
      <c r="A40" s="2">
        <v>1</v>
      </c>
      <c r="C40" s="38" t="s">
        <v>15</v>
      </c>
      <c r="D40" s="40">
        <f>TRUNC(590.614081996435+20714.9698083779,-1)</f>
        <v>21300</v>
      </c>
      <c r="E40" s="63">
        <f t="shared" ref="E40:E59" si="1">TRUNC(+D40*3.3058,-1)</f>
        <v>70410</v>
      </c>
      <c r="F40" s="2" t="s">
        <v>249</v>
      </c>
    </row>
    <row r="41" spans="1:7" x14ac:dyDescent="0.3">
      <c r="A41" s="2">
        <v>2</v>
      </c>
      <c r="C41" s="38" t="s">
        <v>13</v>
      </c>
      <c r="D41" s="42">
        <f>TRUNC(115177.177807487,-1)</f>
        <v>115170</v>
      </c>
      <c r="E41" s="64">
        <f t="shared" si="1"/>
        <v>380720</v>
      </c>
    </row>
    <row r="42" spans="1:7" x14ac:dyDescent="0.3">
      <c r="A42" s="2">
        <v>3</v>
      </c>
      <c r="C42" s="38" t="s">
        <v>14</v>
      </c>
      <c r="D42" s="42">
        <f>TRUNC(2523.51771390374,-1)</f>
        <v>2520</v>
      </c>
      <c r="E42" s="64">
        <f t="shared" si="1"/>
        <v>8330</v>
      </c>
    </row>
    <row r="43" spans="1:7" x14ac:dyDescent="0.3">
      <c r="A43" s="2">
        <v>4</v>
      </c>
      <c r="C43" s="38" t="s">
        <v>16</v>
      </c>
      <c r="D43" s="42">
        <f>TRUNC(23592.0679590018,-1)</f>
        <v>23590</v>
      </c>
      <c r="E43" s="64">
        <f t="shared" si="1"/>
        <v>77980</v>
      </c>
    </row>
    <row r="44" spans="1:7" x14ac:dyDescent="0.3">
      <c r="A44" s="2">
        <v>5</v>
      </c>
      <c r="C44" s="38" t="s">
        <v>17</v>
      </c>
      <c r="D44" s="42">
        <v>0</v>
      </c>
      <c r="E44" s="64">
        <f t="shared" si="1"/>
        <v>0</v>
      </c>
    </row>
    <row r="45" spans="1:7" x14ac:dyDescent="0.3">
      <c r="A45" s="2">
        <v>6</v>
      </c>
      <c r="C45" s="38" t="s">
        <v>18</v>
      </c>
      <c r="D45" s="42">
        <f>TRUNC(5771.80614973262,-1)</f>
        <v>5770</v>
      </c>
      <c r="E45" s="64">
        <f t="shared" si="1"/>
        <v>19070</v>
      </c>
      <c r="F45" s="2" t="s">
        <v>250</v>
      </c>
    </row>
    <row r="46" spans="1:7" x14ac:dyDescent="0.3">
      <c r="A46" s="2">
        <v>7</v>
      </c>
      <c r="C46" s="38" t="s">
        <v>19</v>
      </c>
      <c r="D46" s="42">
        <f>TRUNC(17513.7845365419,-1)</f>
        <v>17510</v>
      </c>
      <c r="E46" s="64">
        <f t="shared" si="1"/>
        <v>57880</v>
      </c>
    </row>
    <row r="47" spans="1:7" x14ac:dyDescent="0.3">
      <c r="A47" s="2">
        <v>8</v>
      </c>
      <c r="C47" s="38" t="s">
        <v>20</v>
      </c>
      <c r="D47" s="42">
        <f>TRUNC(13964.2610294118,-1)</f>
        <v>13960</v>
      </c>
      <c r="E47" s="64">
        <f t="shared" si="1"/>
        <v>46140</v>
      </c>
    </row>
    <row r="48" spans="1:7" x14ac:dyDescent="0.3">
      <c r="A48" s="2">
        <v>9</v>
      </c>
      <c r="C48" s="38" t="s">
        <v>21</v>
      </c>
      <c r="D48" s="42">
        <f>TRUNC(20394.0862299465,-1)</f>
        <v>20390</v>
      </c>
      <c r="E48" s="64">
        <f t="shared" si="1"/>
        <v>67400</v>
      </c>
    </row>
    <row r="49" spans="1:7" x14ac:dyDescent="0.3">
      <c r="A49" s="2">
        <v>10</v>
      </c>
      <c r="C49" s="38" t="s">
        <v>22</v>
      </c>
      <c r="D49" s="42">
        <f>TRUNC(16288.7878787879,-1)</f>
        <v>16280</v>
      </c>
      <c r="E49" s="64">
        <f t="shared" si="1"/>
        <v>53810</v>
      </c>
    </row>
    <row r="50" spans="1:7" x14ac:dyDescent="0.3">
      <c r="A50" s="2">
        <v>11</v>
      </c>
      <c r="C50" s="38" t="s">
        <v>154</v>
      </c>
      <c r="D50" s="42">
        <f>TRUNC(16632.5378787879,-1)</f>
        <v>16630</v>
      </c>
      <c r="E50" s="64">
        <f t="shared" si="1"/>
        <v>54970</v>
      </c>
    </row>
    <row r="51" spans="1:7" x14ac:dyDescent="0.3">
      <c r="A51" s="2">
        <v>12</v>
      </c>
      <c r="C51" s="38" t="s">
        <v>23</v>
      </c>
      <c r="D51" s="42">
        <f>TRUNC(8098.47348484848,-1)</f>
        <v>8090</v>
      </c>
      <c r="E51" s="64">
        <f t="shared" si="1"/>
        <v>26740</v>
      </c>
    </row>
    <row r="52" spans="1:7" x14ac:dyDescent="0.3">
      <c r="A52" s="2">
        <v>13</v>
      </c>
      <c r="C52" s="38" t="s">
        <v>24</v>
      </c>
      <c r="D52" s="42">
        <f>TRUNC(4509.35271836007,-1)</f>
        <v>4500</v>
      </c>
      <c r="E52" s="64">
        <f t="shared" si="1"/>
        <v>14870</v>
      </c>
    </row>
    <row r="53" spans="1:7" x14ac:dyDescent="0.3">
      <c r="A53" s="2">
        <v>14</v>
      </c>
      <c r="C53" s="38" t="s">
        <v>25</v>
      </c>
      <c r="D53" s="42">
        <f>TRUNC(36124.6698975045,-1)</f>
        <v>36120</v>
      </c>
      <c r="E53" s="64">
        <f t="shared" si="1"/>
        <v>119400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TRUNC(12128.2638146168,-1)</f>
        <v>12120</v>
      </c>
      <c r="E55" s="64">
        <f t="shared" si="1"/>
        <v>40060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TRUNC(4122.52450980392+1857.69429590018+2439.18594028521+257.227829768271+1444.7492201426+37951.1807040998-327.005347593583,-1)</f>
        <v>47740</v>
      </c>
      <c r="E58" s="64">
        <f t="shared" si="1"/>
        <v>157810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TRUNC(100926.693404635+71893.8279857398,-1)</f>
        <v>172820</v>
      </c>
      <c r="E59" s="65">
        <f t="shared" si="1"/>
        <v>571300</v>
      </c>
      <c r="F59" s="2" t="s">
        <v>258</v>
      </c>
    </row>
    <row r="60" spans="1:7" x14ac:dyDescent="0.3">
      <c r="A60" s="2">
        <v>21</v>
      </c>
      <c r="C60" s="27" t="s">
        <v>112</v>
      </c>
      <c r="D60" s="39">
        <f>SUM(D40:D59)</f>
        <v>534510</v>
      </c>
      <c r="E60" s="39">
        <f>SUM(E40:E59)</f>
        <v>1766890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234</v>
      </c>
      <c r="E62" s="56" t="s">
        <v>267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TRUNC(11907.5534759358,-1)</f>
        <v>11900</v>
      </c>
      <c r="E63" s="63">
        <f>TRUNC(+D63*3.3058,-1)</f>
        <v>39330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11900</v>
      </c>
      <c r="E66" s="57">
        <f>SUM(E63:E65)</f>
        <v>39330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234</v>
      </c>
      <c r="E68" s="56" t="s">
        <v>267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TRUNC(3454.56795900178,-1)</f>
        <v>3450</v>
      </c>
      <c r="E69" s="63">
        <f>TRUNC(+D69*3.3058,-1)</f>
        <v>11400</v>
      </c>
    </row>
    <row r="70" spans="1:7" ht="16.5" customHeight="1" x14ac:dyDescent="0.3">
      <c r="A70" s="2">
        <v>2</v>
      </c>
      <c r="C70" s="38" t="s">
        <v>31</v>
      </c>
      <c r="D70" s="42">
        <f>TRUNC(574.942067736185,-1)</f>
        <v>570</v>
      </c>
      <c r="E70" s="64">
        <f>TRUNC(+D70*3.3058,-1)</f>
        <v>1880</v>
      </c>
    </row>
    <row r="71" spans="1:7" x14ac:dyDescent="0.3">
      <c r="A71" s="2">
        <v>3</v>
      </c>
      <c r="C71" s="38" t="s">
        <v>32</v>
      </c>
      <c r="D71" s="42">
        <f>TRUNC(5122.49131016043,-1)</f>
        <v>5120</v>
      </c>
      <c r="E71" s="64">
        <f t="shared" ref="E71:E73" si="2">TRUNC(+D71*3.3058,-1)</f>
        <v>16920</v>
      </c>
    </row>
    <row r="72" spans="1:7" x14ac:dyDescent="0.3">
      <c r="A72" s="2">
        <v>4</v>
      </c>
      <c r="C72" s="38" t="s">
        <v>33</v>
      </c>
      <c r="D72" s="42">
        <f>TRUNC(964.702428698752+752.860405525847,-1)</f>
        <v>1710</v>
      </c>
      <c r="E72" s="64">
        <f t="shared" si="2"/>
        <v>5650</v>
      </c>
      <c r="F72" s="2" t="s">
        <v>252</v>
      </c>
    </row>
    <row r="73" spans="1:7" x14ac:dyDescent="0.3">
      <c r="A73" s="2">
        <v>5</v>
      </c>
      <c r="C73" s="38" t="s">
        <v>34</v>
      </c>
      <c r="D73" s="42">
        <f>TRUNC(12052.2464349376,-1)</f>
        <v>12050</v>
      </c>
      <c r="E73" s="64">
        <f t="shared" si="2"/>
        <v>39830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TRUNC(2459.95632798574,-1)</f>
        <v>2450</v>
      </c>
      <c r="E79" s="64">
        <f t="shared" si="3"/>
        <v>8090</v>
      </c>
      <c r="F79" s="2" t="s">
        <v>253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f>TRUNC(3048.10316399287,-1)</f>
        <v>3040</v>
      </c>
      <c r="E89" s="64">
        <f t="shared" si="3"/>
        <v>10040</v>
      </c>
    </row>
    <row r="90" spans="1:7" x14ac:dyDescent="0.3">
      <c r="A90" s="2">
        <v>22</v>
      </c>
      <c r="C90" s="38" t="s">
        <v>36</v>
      </c>
      <c r="D90" s="42">
        <f>TRUNC(174.100155971479,-1)</f>
        <v>170</v>
      </c>
      <c r="E90" s="64">
        <f>TRUNC(+D90*3.3058,-1)</f>
        <v>560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TRUNC(6777.05347593583,-1)</f>
        <v>6770</v>
      </c>
      <c r="E92" s="64">
        <f>TRUNC(+D92*3.3058,-1)</f>
        <v>22380</v>
      </c>
    </row>
    <row r="93" spans="1:7" x14ac:dyDescent="0.3">
      <c r="A93" s="2">
        <v>25</v>
      </c>
      <c r="C93" s="38" t="s">
        <v>148</v>
      </c>
      <c r="D93" s="42">
        <f>TRUNC(2719.2192513369,-1)</f>
        <v>2710</v>
      </c>
      <c r="E93" s="64">
        <f>TRUNC(+D93*3.3058,-1)</f>
        <v>8950</v>
      </c>
      <c r="F93" s="2" t="s">
        <v>259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5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38040</v>
      </c>
      <c r="E95" s="39">
        <f>SUM(E69:E94)</f>
        <v>125700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234</v>
      </c>
      <c r="E97" s="56" t="s">
        <v>267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f>TRUNC(802.664661319073+675.957553475936,-1)</f>
        <v>1470</v>
      </c>
      <c r="E99" s="64">
        <f t="shared" si="4"/>
        <v>4850</v>
      </c>
      <c r="F99" s="2" t="s">
        <v>262</v>
      </c>
    </row>
    <row r="100" spans="1:7" x14ac:dyDescent="0.3">
      <c r="A100" s="2">
        <v>3</v>
      </c>
      <c r="C100" s="38" t="s">
        <v>41</v>
      </c>
      <c r="D100" s="42">
        <f>TRUNC(14490.9981060606,-1)</f>
        <v>14490</v>
      </c>
      <c r="E100" s="64">
        <f t="shared" si="4"/>
        <v>47900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TRUNC(9439.85082442068,-1)</f>
        <v>9430</v>
      </c>
      <c r="E102" s="64">
        <f t="shared" si="4"/>
        <v>31170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TRUNC(2560.51180926916,-1)</f>
        <v>2560</v>
      </c>
      <c r="E105" s="64">
        <f t="shared" si="4"/>
        <v>8460</v>
      </c>
      <c r="F105" s="2" t="s">
        <v>254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TRUNC(1537.46635472371,-1)</f>
        <v>1530</v>
      </c>
      <c r="E108" s="64">
        <f t="shared" si="4"/>
        <v>5050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TRUNC(3106.4695855615,-1)</f>
        <v>3100</v>
      </c>
      <c r="E115" s="64">
        <f t="shared" si="4"/>
        <v>10240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TRUNC(29900.7263814617+28668.5739750446,-1)</f>
        <v>58560</v>
      </c>
      <c r="E117" s="64">
        <f t="shared" si="4"/>
        <v>193580</v>
      </c>
      <c r="F117" s="2" t="s">
        <v>260</v>
      </c>
    </row>
    <row r="118" spans="1:7" ht="17.25" thickBot="1" x14ac:dyDescent="0.35">
      <c r="A118" s="2">
        <v>21</v>
      </c>
      <c r="C118" s="38" t="s">
        <v>47</v>
      </c>
      <c r="D118" s="43">
        <f>TRUNC(8160.45365418895,-1)</f>
        <v>8160</v>
      </c>
      <c r="E118" s="65">
        <f t="shared" si="4"/>
        <v>26970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99300</v>
      </c>
      <c r="E119" s="39">
        <f>SUM(E98:E118)</f>
        <v>328220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234</v>
      </c>
      <c r="E121" s="56" t="s">
        <v>267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TRUNC(4199.04812834225+2035.51114081996+2978.82787433155,-1)</f>
        <v>9210</v>
      </c>
      <c r="E123" s="64">
        <f t="shared" si="5"/>
        <v>30440</v>
      </c>
      <c r="F123" s="2" t="s">
        <v>264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TRUNC(4173.97805258467,-1)</f>
        <v>4170</v>
      </c>
      <c r="E125" s="64">
        <f t="shared" si="5"/>
        <v>13780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TRUNC(10352.6960784314,-1)</f>
        <v>10350</v>
      </c>
      <c r="E131" s="64">
        <f t="shared" si="5"/>
        <v>34210</v>
      </c>
      <c r="F131" s="2" t="s">
        <v>265</v>
      </c>
    </row>
    <row r="132" spans="1:7" ht="17.25" thickBot="1" x14ac:dyDescent="0.35">
      <c r="A132" s="2">
        <v>11</v>
      </c>
      <c r="C132" s="38" t="s">
        <v>47</v>
      </c>
      <c r="D132" s="43">
        <f>TRUNC(860.679144385027+535.02506684492,-1)</f>
        <v>1390</v>
      </c>
      <c r="E132" s="65">
        <f t="shared" si="5"/>
        <v>4590</v>
      </c>
      <c r="F132" s="2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25120</v>
      </c>
      <c r="E133" s="39">
        <f>SUM(E122:E132)</f>
        <v>83020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257</v>
      </c>
      <c r="E135" s="56" t="s">
        <v>267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TRUNC(29900.7263814617+28668.5739750446,-1)</f>
        <v>58560</v>
      </c>
      <c r="E145" s="65">
        <f t="shared" si="6"/>
        <v>193580</v>
      </c>
    </row>
    <row r="146" spans="1:7" x14ac:dyDescent="0.3">
      <c r="A146" s="2">
        <v>11</v>
      </c>
      <c r="C146" s="27" t="s">
        <v>112</v>
      </c>
      <c r="D146" s="39">
        <f>SUM(D136:D145)</f>
        <v>58560</v>
      </c>
      <c r="E146" s="39">
        <f>SUM(E136:E145)</f>
        <v>193580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257</v>
      </c>
      <c r="E148" s="56" t="s">
        <v>267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TRUNC(9901.22248217469+3115.59569964349,-1)</f>
        <v>13010</v>
      </c>
      <c r="E149" s="63">
        <f>TRUNC(+D149*3.3058,-1)</f>
        <v>43000</v>
      </c>
      <c r="F149" s="2" t="s">
        <v>255</v>
      </c>
    </row>
    <row r="150" spans="1:7" x14ac:dyDescent="0.3">
      <c r="A150" s="2">
        <v>2</v>
      </c>
      <c r="C150" s="38" t="s">
        <v>49</v>
      </c>
      <c r="D150" s="42">
        <f>TRUNC(13587.0160427807,-1)</f>
        <v>13580</v>
      </c>
      <c r="E150" s="64">
        <f>TRUNC(+D150*3.3058,-1)</f>
        <v>44890</v>
      </c>
    </row>
    <row r="151" spans="1:7" x14ac:dyDescent="0.3">
      <c r="A151" s="2">
        <v>3</v>
      </c>
      <c r="C151" s="38" t="s">
        <v>50</v>
      </c>
      <c r="D151" s="42">
        <f>TRUNC(9639.7809714795,-1)</f>
        <v>9630</v>
      </c>
      <c r="E151" s="64">
        <f>TRUNC(+D151*3.3058,-1)</f>
        <v>31830</v>
      </c>
    </row>
    <row r="152" spans="1:7" x14ac:dyDescent="0.3">
      <c r="A152" s="2">
        <v>4</v>
      </c>
      <c r="C152" s="38" t="s">
        <v>47</v>
      </c>
      <c r="D152" s="42">
        <f>TRUNC(68.0120320855615-6.0427807486631+2424.51448306595,-1)</f>
        <v>2480</v>
      </c>
      <c r="E152" s="64">
        <f>TRUNC(+D152*3.3058,-1)</f>
        <v>8190</v>
      </c>
      <c r="F152" s="58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38700</v>
      </c>
      <c r="E154" s="39">
        <f>SUM(E149:E153)</f>
        <v>127910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257</v>
      </c>
      <c r="E156" s="56" t="s">
        <v>267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2020-12-07T09:04:33Z</dcterms:modified>
</cp:coreProperties>
</file>