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9" i="4" l="1"/>
  <c r="D64" i="4" l="1"/>
  <c r="D58" i="4"/>
  <c r="E160" i="4" l="1"/>
  <c r="E159" i="4"/>
  <c r="E158" i="4"/>
  <c r="E157" i="4"/>
  <c r="E161" i="4" s="1"/>
  <c r="E153" i="4"/>
  <c r="E151" i="4"/>
  <c r="E149" i="4"/>
  <c r="E145" i="4"/>
  <c r="E142" i="4"/>
  <c r="E141" i="4"/>
  <c r="E140" i="4"/>
  <c r="E139" i="4"/>
  <c r="E138" i="4"/>
  <c r="E137" i="4"/>
  <c r="E132" i="4"/>
  <c r="E131" i="4"/>
  <c r="E129" i="4"/>
  <c r="E127" i="4"/>
  <c r="E126" i="4"/>
  <c r="E123" i="4"/>
  <c r="E117" i="4"/>
  <c r="E116" i="4"/>
  <c r="E114" i="4"/>
  <c r="E113" i="4"/>
  <c r="E112" i="4"/>
  <c r="E111" i="4"/>
  <c r="E110" i="4"/>
  <c r="E109" i="4"/>
  <c r="E108" i="4"/>
  <c r="E107" i="4"/>
  <c r="E106" i="4"/>
  <c r="E103" i="4"/>
  <c r="E101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6" i="4"/>
  <c r="E75" i="4"/>
  <c r="E74" i="4"/>
  <c r="E73" i="4"/>
  <c r="E72" i="4"/>
  <c r="E70" i="4"/>
  <c r="E65" i="4"/>
  <c r="E64" i="4"/>
  <c r="E59" i="4"/>
  <c r="E58" i="4"/>
  <c r="E57" i="4"/>
  <c r="E56" i="4"/>
  <c r="E54" i="4"/>
  <c r="D152" i="4" l="1"/>
  <c r="E152" i="4" s="1"/>
  <c r="D136" i="4" l="1"/>
  <c r="E136" i="4" s="1"/>
  <c r="D94" i="4"/>
  <c r="E94" i="4" s="1"/>
  <c r="D55" i="4" l="1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5" i="4"/>
  <c r="E45" i="4" s="1"/>
  <c r="D46" i="4"/>
  <c r="E46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50" i="4"/>
  <c r="E150" i="4" s="1"/>
  <c r="E154" i="4" s="1"/>
  <c r="D63" i="4"/>
  <c r="E63" i="4" s="1"/>
  <c r="E66" i="4" s="1"/>
  <c r="D93" i="4"/>
  <c r="E93" i="4" s="1"/>
  <c r="D77" i="4"/>
  <c r="E77" i="4" s="1"/>
  <c r="D71" i="4"/>
  <c r="E71" i="4" s="1"/>
  <c r="D69" i="4"/>
  <c r="E69" i="4" s="1"/>
  <c r="D143" i="4"/>
  <c r="E143" i="4" s="1"/>
  <c r="E146" i="4" s="1"/>
  <c r="D144" i="4"/>
  <c r="E144" i="4" s="1"/>
  <c r="D118" i="4"/>
  <c r="E118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D115" i="4"/>
  <c r="E115" i="4" s="1"/>
  <c r="D128" i="4"/>
  <c r="E128" i="4" s="1"/>
  <c r="D124" i="4"/>
  <c r="E124" i="4" s="1"/>
  <c r="D125" i="4"/>
  <c r="E125" i="4" s="1"/>
  <c r="D122" i="4"/>
  <c r="E122" i="4" s="1"/>
  <c r="D130" i="4"/>
  <c r="E130" i="4" s="1"/>
  <c r="E133" i="4" l="1"/>
  <c r="E60" i="4"/>
  <c r="E119" i="4"/>
  <c r="E95" i="4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27" i="4" s="1"/>
  <c r="E27" i="4" s="1"/>
  <c r="D133" i="4"/>
  <c r="D29" i="4" s="1"/>
  <c r="E29" i="4" s="1"/>
  <c r="D161" i="4"/>
  <c r="D32" i="4" s="1"/>
  <c r="E32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<sst xmlns="http://schemas.openxmlformats.org/spreadsheetml/2006/main" count="389" uniqueCount="324">
  <si>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</si>
  <si>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</si>
  <si>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</si>
  <si>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</si>
  <si>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</si>
  <si>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</si>
  <si>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</si>
  <si>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</si>
  <si>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</si>
  <si>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</si>
  <si>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</si>
  <si>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</si>
  <si>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</si>
  <si>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</si>
  <si>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</si>
  <si>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</si>
  <si>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</si>
  <si>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</si>
  <si>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</si>
  <si>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</si>
  <si>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</si>
  <si>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</si>
  <si>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</si>
  <si>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</si>
  <si>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</si>
  <si>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</si>
  <si>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</si>
  <si>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</si>
  <si>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</si>
  <si>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</si>
  <si>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</si>
  <si>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</si>
  <si>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</si>
  <si>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</si>
  <si>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</si>
  <si>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</si>
  <si>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</si>
  <si>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</si>
  <si>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</si>
  <si>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</si>
  <si>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</si>
  <si>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</si>
  <si>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</si>
  <si>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</si>
  <si>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</si>
  <si>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</si>
  <si>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</si>
  <si>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</si>
  <si>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</si>
  <si>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</si>
  <si>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</si>
  <si>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</si>
  <si>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</si>
  <si>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</si>
  <si>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</si>
  <si>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</si>
  <si>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</si>
  <si>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</si>
  <si>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</si>
  <si>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</si>
  <si>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</si>
  <si>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</si>
  <si>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</si>
  <si>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</si>
  <si>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</si>
  <si>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</si>
  <si>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</si>
  <si>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</si>
  <si>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</si>
  <si>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</si>
  <si>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</si>
  <si>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</si>
  <si>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</si>
  <si>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</si>
  <si>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</si>
  <si>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</si>
  <si>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</si>
  <si>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</si>
  <si>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</si>
  <si>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</si>
  <si>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</si>
  <si>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</si>
  <si>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</si>
  <si>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</si>
  <si>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</si>
  <si>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</si>
  <si>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</si>
  <si>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</si>
  <si>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</si>
  <si>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</si>
  <si>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</si>
  <si>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</si>
  <si>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</si>
  <si>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</si>
  <si>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</si>
  <si>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</si>
  <si>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</si>
  <si>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</si>
  <si>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</si>
  <si>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</si>
  <si>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</si>
  <si>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</si>
  <si>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</si>
  <si>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</si>
  <si>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</si>
  <si>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</si>
  <si>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</si>
  <si>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</si>
  <si>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</si>
  <si>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</si>
  <si>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</si>
  <si>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</si>
  <si>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</si>
  <si>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</si>
  <si>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</si>
  <si>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</si>
  <si>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</si>
  <si>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</si>
  <si>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</si>
  <si>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</si>
  <si>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</si>
  <si>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</si>
  <si>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</si>
  <si>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</si>
  <si>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</si>
  <si>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</si>
  <si>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</si>
  <si>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</si>
  <si>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</si>
  <si>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</si>
  <si>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</si>
  <si>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</si>
  <si>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</si>
  <si>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</si>
  <si>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</si>
  <si>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</si>
  <si>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</si>
  <si>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</si>
  <si>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</si>
  <si>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</si>
  <si>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</si>
  <si>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</si>
  <si>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</si>
  <si>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</si>
  <si>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</si>
  <si>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</si>
  <si>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</si>
  <si>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</si>
  <si>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</si>
  <si>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</si>
  <si>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</si>
  <si>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</si>
  <si>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</si>
  <si>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</si>
  <si>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</si>
  <si>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</si>
  <si>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</si>
  <si>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</si>
  <si>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</si>
  <si>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</si>
  <si>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</si>
  <si>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</si>
  <si>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</si>
  <si>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</si>
  <si>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</si>
  <si>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</si>
  <si>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</si>
  <si>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</si>
  <si>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</si>
  <si>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</si>
  <si>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</si>
  <si>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</si>
  <si>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</si>
  <si>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</si>
  <si>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</si>
  <si>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</si>
  <si>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</si>
  <si>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</si>
  <si>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</si>
  <si>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</si>
  <si>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</si>
  <si>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</si>
  <si>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</si>
  <si>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</si>
  <si>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</si>
  <si>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</si>
  <si>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</si>
  <si>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</si>
  <si>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</si>
  <si>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</si>
  <si>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</si>
  <si>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</si>
  <si>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</si>
  <si>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</si>
  <si>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</si>
  <si>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</si>
  <si>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</si>
  <si>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</si>
  <si>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</si>
  <si>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</si>
  <si>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</si>
  <si>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</si>
  <si>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</si>
  <si>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</si>
  <si>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</si>
  <si>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</si>
  <si>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</si>
  <si>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</si>
  <si>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</si>
  <si>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</si>
  <si>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</si>
  <si>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</si>
  <si>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</si>
  <si>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</si>
  <si>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</si>
  <si>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</si>
  <si>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</si>
  <si>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</si>
  <si>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</si>
  <si>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</si>
  <si>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</si>
  <si>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</si>
  <si>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</si>
  <si>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</si>
  <si>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</si>
  <si>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</si>
  <si>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</si>
  <si>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</si>
  <si>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</si>
  <si>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</si>
  <si>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</si>
  <si>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</si>
  <si>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</si>
  <si>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</si>
  <si>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</si>
  <si>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</si>
  <si>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</si>
  <si>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</si>
  <si>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</si>
  <si>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</si>
  <si>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</si>
  <si>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</si>
  <si>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</si>
  <si>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</si>
  <si>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</si>
  <si>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</si>
  <si>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</si>
  <si>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</si>
  <si>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</si>
  <si>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</si>
  <si>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</si>
  <si>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</si>
  <si>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</si>
  <si>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</si>
  <si>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</si>
  <si>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</si>
  <si>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</si>
  <si>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</si>
  <si>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</si>
  <si>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</si>
  <si>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</si>
  <si>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</si>
  <si>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</si>
  <si>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</si>
  <si>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</si>
  <si>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</si>
  <si>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</si>
  <si>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</si>
  <si>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</si>
  <si>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</si>
  <si>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</si>
  <si>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</si>
  <si>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</si>
  <si>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</si>
  <si>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</si>
  <si>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</si>
  <si>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</si>
  <si>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</si>
  <si>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</si>
  <si>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</si>
  <si>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</si>
  <si>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</si>
  <si>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</si>
  <si>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</si>
  <si>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</si>
  <si>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</si>
  <si>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</si>
  <si>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</si>
  <si>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</si>
  <si>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</si>
  <si>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</si>
  <si>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</si>
  <si>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</si>
  <si>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</si>
  <si>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</si>
  <si>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</si>
  <si>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</si>
  <si>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</si>
  <si>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</si>
  <si>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</si>
  <si>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</si>
  <si>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</si>
  <si>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</si>
  <si>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</si>
  <si>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</si>
  <si>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</si>
  <si>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</si>
  <si>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</si>
  <si>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00대학교 해양생물연구센터 신축공사</t>
  </si>
  <si>
    <t>업무</t>
  </si>
  <si>
    <t>경상도</t>
  </si>
  <si>
    <t>U.T POLE설비공사</t>
  </si>
  <si>
    <t>전기 자탐설비공사</t>
    <phoneticPr fontId="2" type="noConversion"/>
  </si>
  <si>
    <t>전기 유도등설비공사</t>
    <phoneticPr fontId="2" type="noConversion"/>
  </si>
  <si>
    <t>환기덕트설치공사</t>
    <phoneticPr fontId="2" type="noConversion"/>
  </si>
  <si>
    <t>배수공사,상수공사,해수인입공사,조경공사,철거공사,자재대,운반비,가시설공사-단지내</t>
    <phoneticPr fontId="2" type="noConversion"/>
  </si>
  <si>
    <t>위생배관공사,옥외실습풀샤워실,전열교환기환기장치공사,해수설비공사,흄후드설비공사,무균실공사</t>
    <phoneticPr fontId="2" type="noConversion"/>
  </si>
  <si>
    <t>기타공사,골재비및운반비,작업부산물,단독정화조,해양실습동</t>
    <phoneticPr fontId="2" type="noConversion"/>
  </si>
  <si>
    <t>파일및지정공사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</si>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</sst>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321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5419</v>
      </c>
      <c r="D7" s="36">
        <f>+C7/3.3058</f>
        <v>1639.2401234194447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66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322</v>
      </c>
    </row>
    <row r="19" spans="1:5" x14ac:dyDescent="0.3">
      <c r="A19" s="2">
        <v>9</v>
      </c>
      <c r="B19" s="2" t="s">
        <v>323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5380</v>
      </c>
      <c r="E24" s="59">
        <f t="shared" ref="E24:E33" si="0">TRUNC(+D24*3.3058,-1)</f>
        <v>17780</v>
      </c>
    </row>
    <row r="25" spans="1:5" x14ac:dyDescent="0.3">
      <c r="B25" s="2">
        <v>2</v>
      </c>
      <c r="C25" s="35" t="s">
        <v>45</v>
      </c>
      <c r="D25" s="47">
        <f>+D60</f>
        <v>655470</v>
      </c>
      <c r="E25" s="60">
        <f t="shared" si="0"/>
        <v>2166850</v>
      </c>
    </row>
    <row r="26" spans="1:5" x14ac:dyDescent="0.3">
      <c r="B26" s="2">
        <v>3</v>
      </c>
      <c r="C26" s="35" t="s">
        <v>29</v>
      </c>
      <c r="D26" s="47">
        <f>+D66</f>
        <v>23550</v>
      </c>
      <c r="E26" s="60">
        <f t="shared" si="0"/>
        <v>77850</v>
      </c>
    </row>
    <row r="27" spans="1:5" x14ac:dyDescent="0.3">
      <c r="B27" s="2">
        <v>4</v>
      </c>
      <c r="C27" s="35" t="s">
        <v>30</v>
      </c>
      <c r="D27" s="47">
        <f>+D95</f>
        <v>672900</v>
      </c>
      <c r="E27" s="60">
        <f t="shared" si="0"/>
        <v>2224470</v>
      </c>
    </row>
    <row r="28" spans="1:5" x14ac:dyDescent="0.3">
      <c r="B28" s="2">
        <v>5</v>
      </c>
      <c r="C28" s="35" t="s">
        <v>31</v>
      </c>
      <c r="D28" s="47">
        <f>+D119</f>
        <v>80070</v>
      </c>
      <c r="E28" s="60">
        <f t="shared" si="0"/>
        <v>264690</v>
      </c>
    </row>
    <row r="29" spans="1:5" x14ac:dyDescent="0.3">
      <c r="B29" s="2">
        <v>6</v>
      </c>
      <c r="C29" s="35" t="s">
        <v>32</v>
      </c>
      <c r="D29" s="47">
        <f>+D133</f>
        <v>20240</v>
      </c>
      <c r="E29" s="60">
        <f t="shared" si="0"/>
        <v>66900</v>
      </c>
    </row>
    <row r="30" spans="1:5" x14ac:dyDescent="0.3">
      <c r="B30" s="2">
        <v>7</v>
      </c>
      <c r="C30" s="35" t="s">
        <v>33</v>
      </c>
      <c r="D30" s="47">
        <f>+D146</f>
        <v>17180</v>
      </c>
      <c r="E30" s="60">
        <f t="shared" si="0"/>
        <v>56790</v>
      </c>
    </row>
    <row r="31" spans="1:5" x14ac:dyDescent="0.3">
      <c r="B31" s="2">
        <v>8</v>
      </c>
      <c r="C31" s="35" t="s">
        <v>34</v>
      </c>
      <c r="D31" s="47">
        <f>+D154</f>
        <v>45900</v>
      </c>
      <c r="E31" s="60">
        <f t="shared" si="0"/>
        <v>151730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418180</v>
      </c>
      <c r="E33" s="61">
        <f t="shared" si="0"/>
        <v>1382410</v>
      </c>
    </row>
    <row r="34" spans="1:5" x14ac:dyDescent="0.3">
      <c r="C34" s="35" t="s">
        <v>46</v>
      </c>
      <c r="D34" s="46">
        <f>SUM(D24:D33)</f>
        <v>1938870</v>
      </c>
      <c r="E34" s="46">
        <f>SUM(E24:E33)</f>
        <v>6409470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f>TRUNC(5383.41760472412,-1)</f>
        <v>5380</v>
      </c>
      <c r="E37" s="62">
        <f>TRUNC(+D37*3.3058,-1)</f>
        <v>17780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319</v>
      </c>
      <c r="E39" s="68" t="s">
        <v>320</v>
      </c>
    </row>
    <row r="40" spans="1:5" x14ac:dyDescent="0.3">
      <c r="A40" s="2">
        <v>1</v>
      </c>
      <c r="C40" s="39" t="s">
        <v>75</v>
      </c>
      <c r="D40" s="42">
        <f>TRUNC(49208.4192655471,-1)</f>
        <v>49200</v>
      </c>
      <c r="E40" s="63">
        <f t="shared" ref="E40:E59" si="1">TRUNC(+D40*3.3058,-1)</f>
        <v>162640</v>
      </c>
    </row>
    <row r="41" spans="1:5" x14ac:dyDescent="0.3">
      <c r="A41" s="2">
        <v>2</v>
      </c>
      <c r="C41" s="39" t="s">
        <v>6</v>
      </c>
      <c r="D41" s="44">
        <f>TRUNC(283543.414836686,-1)</f>
        <v>283540</v>
      </c>
      <c r="E41" s="64">
        <f t="shared" si="1"/>
        <v>937320</v>
      </c>
    </row>
    <row r="42" spans="1:5" x14ac:dyDescent="0.3">
      <c r="A42" s="2">
        <v>3</v>
      </c>
      <c r="C42" s="39" t="s">
        <v>7</v>
      </c>
      <c r="D42" s="44">
        <f>TRUNC(21613.1653441594,-1)</f>
        <v>21610</v>
      </c>
      <c r="E42" s="64">
        <f t="shared" si="1"/>
        <v>71430</v>
      </c>
    </row>
    <row r="43" spans="1:5" x14ac:dyDescent="0.3">
      <c r="A43" s="2">
        <v>4</v>
      </c>
      <c r="C43" s="39" t="s">
        <v>8</v>
      </c>
      <c r="D43" s="44">
        <f>TRUNC(28129.4823768223,-1)</f>
        <v>28120</v>
      </c>
      <c r="E43" s="64">
        <f t="shared" si="1"/>
        <v>92950</v>
      </c>
    </row>
    <row r="44" spans="1:5" x14ac:dyDescent="0.3">
      <c r="A44" s="2">
        <v>5</v>
      </c>
      <c r="C44" s="39" t="s">
        <v>9</v>
      </c>
      <c r="D44" s="44">
        <f>TRUNC(28652.4323675955,-1)</f>
        <v>28650</v>
      </c>
      <c r="E44" s="64">
        <f t="shared" si="1"/>
        <v>94710</v>
      </c>
    </row>
    <row r="45" spans="1:5" x14ac:dyDescent="0.3">
      <c r="A45" s="2">
        <v>6</v>
      </c>
      <c r="C45" s="39" t="s">
        <v>10</v>
      </c>
      <c r="D45" s="44">
        <f>TRUNC(5609.56246539952,-1)</f>
        <v>5600</v>
      </c>
      <c r="E45" s="64">
        <f t="shared" si="1"/>
        <v>18510</v>
      </c>
    </row>
    <row r="46" spans="1:5" x14ac:dyDescent="0.3">
      <c r="A46" s="2">
        <v>7</v>
      </c>
      <c r="C46" s="39" t="s">
        <v>11</v>
      </c>
      <c r="D46" s="44">
        <f>TRUNC(864.735190994648,-1)</f>
        <v>860</v>
      </c>
      <c r="E46" s="64">
        <f t="shared" si="1"/>
        <v>2840</v>
      </c>
    </row>
    <row r="47" spans="1:5" x14ac:dyDescent="0.3">
      <c r="A47" s="2">
        <v>8</v>
      </c>
      <c r="C47" s="39" t="s">
        <v>12</v>
      </c>
      <c r="D47" s="44">
        <f>TRUNC(2452.67134157594,-1)</f>
        <v>2450</v>
      </c>
      <c r="E47" s="64">
        <f t="shared" si="1"/>
        <v>8090</v>
      </c>
    </row>
    <row r="48" spans="1:5" x14ac:dyDescent="0.3">
      <c r="A48" s="2">
        <v>9</v>
      </c>
      <c r="C48" s="39" t="s">
        <v>13</v>
      </c>
      <c r="D48" s="44">
        <f>TRUNC(28931.393799594,-1)</f>
        <v>28930</v>
      </c>
      <c r="E48" s="64">
        <f t="shared" si="1"/>
        <v>95630</v>
      </c>
    </row>
    <row r="49" spans="1:6" x14ac:dyDescent="0.3">
      <c r="A49" s="2">
        <v>10</v>
      </c>
      <c r="C49" s="39" t="s">
        <v>14</v>
      </c>
      <c r="D49" s="44">
        <f>TRUNC(55540.9868979517,-1)</f>
        <v>55540</v>
      </c>
      <c r="E49" s="64">
        <f t="shared" si="1"/>
        <v>183600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TRUNC(70306.320169773,-1)</f>
        <v>70300</v>
      </c>
      <c r="E50" s="64">
        <f t="shared" si="1"/>
        <v>232390</v>
      </c>
      <c r="F50" s="2"/>
    </row>
    <row r="51" spans="1:6" x14ac:dyDescent="0.3">
      <c r="A51" s="2">
        <v>12</v>
      </c>
      <c r="C51" s="39" t="s">
        <v>16</v>
      </c>
      <c r="D51" s="44">
        <f>TRUNC(13831.1668204466,-1)</f>
        <v>13830</v>
      </c>
      <c r="E51" s="64">
        <f t="shared" si="1"/>
        <v>45710</v>
      </c>
    </row>
    <row r="52" spans="1:6" x14ac:dyDescent="0.3">
      <c r="A52" s="2">
        <v>13</v>
      </c>
      <c r="C52" s="39" t="s">
        <v>17</v>
      </c>
      <c r="D52" s="44">
        <f>TRUNC(5400.90883926924,-1)</f>
        <v>5400</v>
      </c>
      <c r="E52" s="64">
        <f t="shared" si="1"/>
        <v>17850</v>
      </c>
    </row>
    <row r="53" spans="1:6" x14ac:dyDescent="0.3">
      <c r="A53" s="2">
        <v>14</v>
      </c>
      <c r="C53" s="39" t="s">
        <v>18</v>
      </c>
      <c r="D53" s="44">
        <f>TRUNC(39153.946853663,-1)</f>
        <v>39150</v>
      </c>
      <c r="E53" s="64">
        <f t="shared" si="1"/>
        <v>129420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TRUNC(625.241003875254,-1)</f>
        <v>620</v>
      </c>
      <c r="E55" s="64">
        <f t="shared" si="1"/>
        <v>2040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TRUNC(4197.80937442333
+8528.36445838716
-750.317401734637
+3287.83465584056
+6412.2350987267,-1)</f>
        <v>21670</v>
      </c>
      <c r="E58" s="64">
        <f t="shared" si="1"/>
        <v>71630</v>
      </c>
      <c r="F58" s="2" t="s">
        <v>317</v>
      </c>
    </row>
    <row r="59" spans="1:6" ht="17.25" thickBot="1" x14ac:dyDescent="0.35">
      <c r="A59" s="2">
        <v>20</v>
      </c>
      <c r="C59" s="39" t="s">
        <v>56</v>
      </c>
      <c r="D59" s="45">
        <v>0</v>
      </c>
      <c r="E59" s="65">
        <f t="shared" si="1"/>
        <v>0</v>
      </c>
    </row>
    <row r="60" spans="1:6" x14ac:dyDescent="0.3">
      <c r="A60" s="2">
        <v>21</v>
      </c>
      <c r="C60" s="27" t="s">
        <v>46</v>
      </c>
      <c r="D60" s="40">
        <f>SUM(D40:D59)</f>
        <v>655470</v>
      </c>
      <c r="E60" s="40">
        <f>SUM(E40:E59)</f>
        <v>2166760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TRUNC(1273.25502860306,-1)</f>
        <v>1270</v>
      </c>
      <c r="E63" s="63">
        <f>TRUNC(+D63*3.3058,-1)</f>
        <v>4190</v>
      </c>
    </row>
    <row r="64" spans="1:6" x14ac:dyDescent="0.3">
      <c r="A64" s="2">
        <v>2</v>
      </c>
      <c r="C64" s="39" t="s">
        <v>22</v>
      </c>
      <c r="D64" s="44">
        <f>TRUNC(22280.2205203912,-1)</f>
        <v>22280</v>
      </c>
      <c r="E64" s="64">
        <f>TRUNC(+D64*3.3058,-1)</f>
        <v>73650</v>
      </c>
      <c r="F64" s="2" t="s">
        <v>318</v>
      </c>
    </row>
    <row r="65" spans="1:6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6" x14ac:dyDescent="0.3">
      <c r="A66" s="2">
        <v>4</v>
      </c>
      <c r="C66" s="27" t="s">
        <v>46</v>
      </c>
      <c r="D66" s="40">
        <f>SUM(D63:D65)</f>
        <v>23550</v>
      </c>
      <c r="E66" s="66">
        <f>SUM(E63:E65)</f>
        <v>77840</v>
      </c>
    </row>
    <row r="67" spans="1:6" s="48" customFormat="1" x14ac:dyDescent="0.3">
      <c r="C67" s="49"/>
      <c r="D67" s="49"/>
      <c r="E67" s="49"/>
    </row>
    <row r="68" spans="1:6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6" x14ac:dyDescent="0.3">
      <c r="A69" s="2">
        <v>1</v>
      </c>
      <c r="C69" s="39" t="s">
        <v>78</v>
      </c>
      <c r="D69" s="42">
        <f>TRUNC(9972.73703635357,-1)</f>
        <v>9970</v>
      </c>
      <c r="E69" s="63">
        <f t="shared" ref="E69:E94" si="2">TRUNC(+D69*3.3058,-1)</f>
        <v>32950</v>
      </c>
    </row>
    <row r="70" spans="1:6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6" x14ac:dyDescent="0.3">
      <c r="A71" s="2">
        <v>3</v>
      </c>
      <c r="C71" s="39" t="s">
        <v>80</v>
      </c>
      <c r="D71" s="44">
        <f>TRUNC(6576.6936704189,-1)</f>
        <v>6570</v>
      </c>
      <c r="E71" s="64">
        <f t="shared" si="2"/>
        <v>21710</v>
      </c>
    </row>
    <row r="72" spans="1:6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6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6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6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6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6" x14ac:dyDescent="0.3">
      <c r="A77" s="2">
        <v>9</v>
      </c>
      <c r="C77" s="39" t="s">
        <v>86</v>
      </c>
      <c r="D77" s="44">
        <f>TRUNC(6551.02417420188,-1)</f>
        <v>6550</v>
      </c>
      <c r="E77" s="64">
        <f t="shared" si="2"/>
        <v>21650</v>
      </c>
    </row>
    <row r="78" spans="1:6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6" x14ac:dyDescent="0.3">
      <c r="A79" s="2">
        <v>11</v>
      </c>
      <c r="C79" s="39" t="s">
        <v>88</v>
      </c>
      <c r="D79" s="44">
        <f>TRUNC(12730.6562096328,-1)</f>
        <v>12730</v>
      </c>
      <c r="E79" s="64">
        <f t="shared" si="2"/>
        <v>42080</v>
      </c>
      <c r="F79" s="2" t="s">
        <v>314</v>
      </c>
    </row>
    <row r="80" spans="1:6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6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6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6" x14ac:dyDescent="0.3">
      <c r="A93" s="2">
        <v>25</v>
      </c>
      <c r="C93" s="39" t="s">
        <v>102</v>
      </c>
      <c r="D93" s="44">
        <f>TRUNC(548822.789260011,-1)</f>
        <v>548820</v>
      </c>
      <c r="E93" s="64">
        <f t="shared" si="2"/>
        <v>1814280</v>
      </c>
    </row>
    <row r="94" spans="1:6" ht="17.25" thickBot="1" x14ac:dyDescent="0.35">
      <c r="A94" s="2">
        <v>26</v>
      </c>
      <c r="C94" s="39" t="s">
        <v>103</v>
      </c>
      <c r="D94" s="45">
        <f>TRUNC(30675.250046134+5327.00129175125
+5099.03912160915
+40947.3520944823
+1948.69902195977
+4268.08414836686,-1)</f>
        <v>88260</v>
      </c>
      <c r="E94" s="65">
        <f t="shared" si="2"/>
        <v>291760</v>
      </c>
      <c r="F94" s="2" t="s">
        <v>316</v>
      </c>
    </row>
    <row r="95" spans="1:6" x14ac:dyDescent="0.3">
      <c r="A95" s="2">
        <v>27</v>
      </c>
      <c r="C95" s="27" t="s">
        <v>104</v>
      </c>
      <c r="D95" s="40">
        <f>SUM(D69:D94)</f>
        <v>672900</v>
      </c>
      <c r="E95" s="40">
        <f>SUM(E69:E94)</f>
        <v>2224430</v>
      </c>
    </row>
    <row r="96" spans="1:6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f>TRUNC(21674.1153349326,-1)</f>
        <v>21670</v>
      </c>
      <c r="E98" s="63">
        <f t="shared" ref="E98:E118" si="3">TRUNC(+D98*3.3058,-1)</f>
        <v>71630</v>
      </c>
    </row>
    <row r="99" spans="1:5" x14ac:dyDescent="0.3">
      <c r="A99" s="2">
        <v>2</v>
      </c>
      <c r="C99" s="29" t="s">
        <v>107</v>
      </c>
      <c r="D99" s="44">
        <f>TRUNC(4226.11330503783,-1)</f>
        <v>4220</v>
      </c>
      <c r="E99" s="64">
        <f t="shared" si="3"/>
        <v>13950</v>
      </c>
    </row>
    <row r="100" spans="1:5" x14ac:dyDescent="0.3">
      <c r="A100" s="2">
        <v>3</v>
      </c>
      <c r="C100" s="29" t="s">
        <v>108</v>
      </c>
      <c r="D100" s="44">
        <f>TRUNC(25646.7495847942,-1)</f>
        <v>25640</v>
      </c>
      <c r="E100" s="64">
        <f t="shared" si="3"/>
        <v>84760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f>TRUNC(5919.29175124562,-1)</f>
        <v>5910</v>
      </c>
      <c r="E102" s="64">
        <f t="shared" si="3"/>
        <v>19530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f>TRUNC(2114.65067355601,-1)</f>
        <v>2110</v>
      </c>
      <c r="E104" s="64">
        <f t="shared" si="3"/>
        <v>6970</v>
      </c>
    </row>
    <row r="105" spans="1:5" x14ac:dyDescent="0.3">
      <c r="A105" s="2">
        <v>8</v>
      </c>
      <c r="C105" s="29" t="s">
        <v>113</v>
      </c>
      <c r="D105" s="44">
        <f>TRUNC(6101.82948883558,-1)</f>
        <v>6100</v>
      </c>
      <c r="E105" s="64">
        <f t="shared" si="3"/>
        <v>20160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6" x14ac:dyDescent="0.3">
      <c r="A115" s="2">
        <v>18</v>
      </c>
      <c r="C115" s="29" t="s">
        <v>123</v>
      </c>
      <c r="D115" s="44">
        <f>TRUNC(10822.4220335855,-1)</f>
        <v>10820</v>
      </c>
      <c r="E115" s="64">
        <f t="shared" si="3"/>
        <v>35760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v>0</v>
      </c>
      <c r="E117" s="64">
        <f t="shared" si="3"/>
        <v>0</v>
      </c>
    </row>
    <row r="118" spans="1:6" ht="17.25" thickBot="1" x14ac:dyDescent="0.35">
      <c r="A118" s="2">
        <v>21</v>
      </c>
      <c r="C118" s="29" t="s">
        <v>103</v>
      </c>
      <c r="D118" s="45">
        <f>TRUNC(3607.75862705296,-1)</f>
        <v>3600</v>
      </c>
      <c r="E118" s="65">
        <f t="shared" si="3"/>
        <v>11900</v>
      </c>
      <c r="F118" s="2" t="s">
        <v>311</v>
      </c>
    </row>
    <row r="119" spans="1:6" x14ac:dyDescent="0.3">
      <c r="A119" s="2">
        <v>22</v>
      </c>
      <c r="C119" s="27" t="s">
        <v>104</v>
      </c>
      <c r="D119" s="40">
        <f>SUM(D98:D118)</f>
        <v>80070</v>
      </c>
      <c r="E119" s="40">
        <f>SUM(E98:E118)</f>
        <v>264660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f>TRUNC(2136.37202435874,-1)</f>
        <v>2130</v>
      </c>
      <c r="E122" s="63">
        <f t="shared" ref="E122:E132" si="4">TRUNC(+D122*3.3058,-1)</f>
        <v>7040</v>
      </c>
    </row>
    <row r="123" spans="1:6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6" x14ac:dyDescent="0.3">
      <c r="A124" s="2">
        <v>3</v>
      </c>
      <c r="C124" s="29" t="s">
        <v>128</v>
      </c>
      <c r="D124" s="44">
        <f>TRUNC(1296.19634618933,-1)</f>
        <v>1290</v>
      </c>
      <c r="E124" s="64">
        <f t="shared" si="4"/>
        <v>4260</v>
      </c>
    </row>
    <row r="125" spans="1:6" x14ac:dyDescent="0.3">
      <c r="A125" s="2">
        <v>4</v>
      </c>
      <c r="C125" s="29" t="s">
        <v>129</v>
      </c>
      <c r="D125" s="44">
        <f>TRUNC(3939.51245617273,-1)</f>
        <v>3930</v>
      </c>
      <c r="E125" s="64">
        <f t="shared" si="4"/>
        <v>12990</v>
      </c>
    </row>
    <row r="126" spans="1:6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113</v>
      </c>
      <c r="D128" s="44">
        <f>TRUNC(2964.64033954604,-1)</f>
        <v>2960</v>
      </c>
      <c r="E128" s="64">
        <f t="shared" si="4"/>
        <v>9780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f>TRUNC(9932.62299317217,-1)</f>
        <v>9930</v>
      </c>
      <c r="E130" s="64">
        <f t="shared" si="4"/>
        <v>32820</v>
      </c>
    </row>
    <row r="131" spans="1:6" x14ac:dyDescent="0.3">
      <c r="A131" s="2">
        <v>10</v>
      </c>
      <c r="C131" s="29" t="s">
        <v>102</v>
      </c>
      <c r="D131" s="44">
        <v>0</v>
      </c>
      <c r="E131" s="64">
        <f t="shared" si="4"/>
        <v>0</v>
      </c>
    </row>
    <row r="132" spans="1:6" ht="17.25" thickBot="1" x14ac:dyDescent="0.35">
      <c r="A132" s="2">
        <v>11</v>
      </c>
      <c r="C132" s="29" t="s">
        <v>103</v>
      </c>
      <c r="D132" s="45">
        <v>0</v>
      </c>
      <c r="E132" s="65">
        <f t="shared" si="4"/>
        <v>0</v>
      </c>
    </row>
    <row r="133" spans="1:6" x14ac:dyDescent="0.3">
      <c r="A133" s="2">
        <v>12</v>
      </c>
      <c r="C133" s="41" t="s">
        <v>104</v>
      </c>
      <c r="D133" s="40">
        <f>SUM(D122:D132)</f>
        <v>20240</v>
      </c>
      <c r="E133" s="40">
        <f>SUM(E122:E132)</f>
        <v>66890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6" x14ac:dyDescent="0.3">
      <c r="A136" s="2">
        <v>1</v>
      </c>
      <c r="C136" s="39" t="s">
        <v>135</v>
      </c>
      <c r="D136" s="42">
        <f>TRUNC(9846.00498246909,-1)</f>
        <v>9840</v>
      </c>
      <c r="E136" s="63">
        <f t="shared" ref="E136:E145" si="5">TRUNC(+D136*3.3058,-1)</f>
        <v>32520</v>
      </c>
    </row>
    <row r="137" spans="1:6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6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141</v>
      </c>
      <c r="D143" s="44">
        <f>TRUNC(2013.71673740543,-1)</f>
        <v>2010</v>
      </c>
      <c r="E143" s="64">
        <f t="shared" si="5"/>
        <v>6640</v>
      </c>
      <c r="F143" s="2" t="s">
        <v>313</v>
      </c>
    </row>
    <row r="144" spans="1:6" x14ac:dyDescent="0.3">
      <c r="A144" s="2">
        <v>9</v>
      </c>
      <c r="C144" s="39" t="s">
        <v>142</v>
      </c>
      <c r="D144" s="44">
        <f>TRUNC(5335.00036907178,-1)</f>
        <v>5330</v>
      </c>
      <c r="E144" s="64">
        <f t="shared" si="5"/>
        <v>17610</v>
      </c>
      <c r="F144" s="2" t="s">
        <v>312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17180</v>
      </c>
      <c r="E146" s="40">
        <f>SUM(E136:E145)</f>
        <v>56770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f>TRUNC(3370.24026573168,-1)</f>
        <v>3370</v>
      </c>
      <c r="E150" s="64">
        <f>TRUNC(+D150*3.3058,-1)</f>
        <v>11140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TRUNC(4537.75825798118+598.890939287691
+180.207049271083
+1543.42867687765
+1137.38383465584
+2341.70252814172
+105.433474810851
+32090.5429045949,-1)</f>
        <v>42530</v>
      </c>
      <c r="E152" s="64">
        <f>TRUNC(+D152*3.3058,-1)</f>
        <v>140590</v>
      </c>
      <c r="F152" s="37" t="s">
        <v>315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45900</v>
      </c>
      <c r="E154" s="40">
        <f>SUM(E149:E153)</f>
        <v>151730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2020-12-07T09:23:09Z</dcterms:modified>
</cp:coreProperties>
</file>