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2" i="4"/>
  <c r="D137" i="4"/>
  <c r="D132" i="4"/>
  <c r="D128" i="4"/>
  <c r="D125" i="4"/>
  <c r="D122" i="4"/>
  <c r="D130" i="4"/>
  <c r="D126" i="4"/>
  <c r="D118" i="4"/>
  <c r="D104" i="4"/>
  <c r="D103" i="4"/>
  <c r="D102" i="4"/>
  <c r="D100" i="4"/>
  <c r="D98" i="4"/>
  <c r="D92" i="4"/>
  <c r="D91" i="4"/>
  <c r="D89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54" i="4"/>
  <c r="E119" i="4"/>
  <c r="E95" i="4"/>
  <c r="E60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<sst xmlns="http://schemas.openxmlformats.org/spreadsheetml/2006/main" count="394" uniqueCount="269">
  <si>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</si>
  <si>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</si>
  <si>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</si>
  <si>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</si>
  <si>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</si>
  <si>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</si>
  <si>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</si>
  <si>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</si>
  <si>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</si>
  <si>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</si>
  <si>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</si>
  <si>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</si>
  <si>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</si>
  <si>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</si>
  <si>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</si>
  <si>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</si>
  <si>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</si>
  <si>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</si>
  <si>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</si>
  <si>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</si>
  <si>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</si>
  <si>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</si>
  <si>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</si>
  <si>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</si>
  <si>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</si>
  <si>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</si>
  <si>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</si>
  <si>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</si>
  <si>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</si>
  <si>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</si>
  <si>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</si>
  <si>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</si>
  <si>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</si>
  <si>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</si>
  <si>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</si>
  <si>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</si>
  <si>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</si>
  <si>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</si>
  <si>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</si>
  <si>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</si>
  <si>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</si>
  <si>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</si>
  <si>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</si>
  <si>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</si>
  <si>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</si>
  <si>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</si>
  <si>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</si>
  <si>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</si>
  <si>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</si>
  <si>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</si>
  <si>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</si>
  <si>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</si>
  <si>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</si>
  <si>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</si>
  <si>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</si>
  <si>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</si>
  <si>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</si>
  <si>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</si>
  <si>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</si>
  <si>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</si>
  <si>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</si>
  <si>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</si>
  <si>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</si>
  <si>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</si>
  <si>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</si>
  <si>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</si>
  <si>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</si>
  <si>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</si>
  <si>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</si>
  <si>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</si>
  <si>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</si>
  <si>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</si>
  <si>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</si>
  <si>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</si>
  <si>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</si>
  <si>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</si>
  <si>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</si>
  <si>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</si>
  <si>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</si>
  <si>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</si>
  <si>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</si>
  <si>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</si>
  <si>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</si>
  <si>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</si>
  <si>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</si>
  <si>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</si>
  <si>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</si>
  <si>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</si>
  <si>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</si>
  <si>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</si>
  <si>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</si>
  <si>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</si>
  <si>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</si>
  <si>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</si>
  <si>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</si>
  <si>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</si>
  <si>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</si>
  <si>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</si>
  <si>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</si>
  <si>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</si>
  <si>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</si>
  <si>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</si>
  <si>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</si>
  <si>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</si>
  <si>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</si>
  <si>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</si>
  <si>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</si>
  <si>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</si>
  <si>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</si>
  <si>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</si>
  <si>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</si>
  <si>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</si>
  <si>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</si>
  <si>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</si>
  <si>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</si>
  <si>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</si>
  <si>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</si>
  <si>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</si>
  <si>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</si>
  <si>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</si>
  <si>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</si>
  <si>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</si>
  <si>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</si>
  <si>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</si>
  <si>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</si>
  <si>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</si>
  <si>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</si>
  <si>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</si>
  <si>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</si>
  <si>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</si>
  <si>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</si>
  <si>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</si>
  <si>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</si>
  <si>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</si>
  <si>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</si>
  <si>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</si>
  <si>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</si>
  <si>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</si>
  <si>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</si>
  <si>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</si>
  <si>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</si>
  <si>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</si>
  <si>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</si>
  <si>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</si>
  <si>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</si>
  <si>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</si>
  <si>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</si>
  <si>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</si>
  <si>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</si>
  <si>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</si>
  <si>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</si>
  <si>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</si>
  <si>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</si>
  <si>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</si>
  <si>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</si>
  <si>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</si>
  <si>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</si>
  <si>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</si>
  <si>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</si>
  <si>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</si>
  <si>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</si>
  <si>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</si>
  <si>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</si>
  <si>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</si>
  <si>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</si>
  <si>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</si>
  <si>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</si>
  <si>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</si>
  <si>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</si>
  <si>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</si>
  <si>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</si>
  <si>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</si>
  <si>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</si>
  <si>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</si>
  <si>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</si>
  <si>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</si>
  <si>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</si>
  <si>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</si>
  <si>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</si>
  <si>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</si>
  <si>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</si>
  <si>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</si>
  <si>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</si>
  <si>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</si>
  <si>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</si>
  <si>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</si>
  <si>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</si>
  <si>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</si>
  <si>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</si>
  <si>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</si>
  <si>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</si>
  <si>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</si>
  <si>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</si>
  <si>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</si>
  <si>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</si>
  <si>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</si>
  <si>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</si>
  <si>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</si>
  <si>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</si>
  <si>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</si>
  <si>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</si>
  <si>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</si>
  <si>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</si>
  <si>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</si>
  <si>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</si>
  <si>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</si>
  <si>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</si>
  <si>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</si>
  <si>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</si>
  <si>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</si>
  <si>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</si>
  <si>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</si>
  <si>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</si>
  <si>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</si>
  <si>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</si>
  <si>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</si>
  <si>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</si>
  <si>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</si>
  <si>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</si>
  <si>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</si>
  <si>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</si>
  <si>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</si>
  <si>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</si>
  <si>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</si>
  <si>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</si>
  <si>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</si>
  <si>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</si>
  <si>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</si>
  <si>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</si>
  <si>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</si>
  <si>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</si>
  <si>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</si>
  <si>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</si>
  <si>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</si>
  <si>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</si>
  <si>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</si>
  <si>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</si>
  <si>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</si>
  <si>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</si>
  <si>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</si>
  <si>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</si>
  <si>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</si>
  <si>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</si>
  <si>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</si>
  <si>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</si>
  <si>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</si>
  <si>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</si>
  <si>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</si>
  <si>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(가칭)완주한별중학교 신축공사</t>
    <phoneticPr fontId="2" type="noConversion"/>
  </si>
  <si>
    <t>교육연구</t>
  </si>
  <si>
    <t>전라도</t>
  </si>
  <si>
    <t>조경시설물</t>
    <phoneticPr fontId="2" type="noConversion"/>
  </si>
  <si>
    <t>포장공사,기타공사</t>
    <phoneticPr fontId="2" type="noConversion"/>
  </si>
  <si>
    <t>우수공사,오수공사</t>
    <phoneticPr fontId="2" type="noConversion"/>
  </si>
  <si>
    <t>상수도공사,기타공사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</si>
  <si>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</si>
  <si>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</si>
  <si>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</si>
  <si>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</si>
  <si>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기초공사,골재비및운반비,품질시험비,기타공사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</si>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</sst>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8307.86</v>
      </c>
      <c r="D7" s="36">
        <f>+C7/3.3058</f>
        <v>2513.1163409764658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1088770</v>
      </c>
      <c r="E25" s="59">
        <f t="shared" si="0"/>
        <v>3599250</v>
      </c>
    </row>
    <row r="26" spans="1:5" x14ac:dyDescent="0.3">
      <c r="B26" s="2">
        <v>3</v>
      </c>
      <c r="C26" s="35" t="s">
        <v>95</v>
      </c>
      <c r="D26" s="45">
        <f>+D66</f>
        <v>2290</v>
      </c>
      <c r="E26" s="59">
        <f t="shared" si="0"/>
        <v>7570</v>
      </c>
    </row>
    <row r="27" spans="1:5" x14ac:dyDescent="0.3">
      <c r="B27" s="2">
        <v>4</v>
      </c>
      <c r="C27" s="35" t="s">
        <v>96</v>
      </c>
      <c r="D27" s="45">
        <f>+D95</f>
        <v>66250</v>
      </c>
      <c r="E27" s="59">
        <f t="shared" si="0"/>
        <v>219000</v>
      </c>
    </row>
    <row r="28" spans="1:5" x14ac:dyDescent="0.3">
      <c r="B28" s="2">
        <v>5</v>
      </c>
      <c r="C28" s="35" t="s">
        <v>97</v>
      </c>
      <c r="D28" s="45">
        <f>+D119</f>
        <v>249600</v>
      </c>
      <c r="E28" s="59">
        <f t="shared" si="0"/>
        <v>825120</v>
      </c>
    </row>
    <row r="29" spans="1:5" x14ac:dyDescent="0.3">
      <c r="B29" s="2">
        <v>6</v>
      </c>
      <c r="C29" s="35" t="s">
        <v>98</v>
      </c>
      <c r="D29" s="45">
        <f>+D133</f>
        <v>101670</v>
      </c>
      <c r="E29" s="59">
        <f t="shared" si="0"/>
        <v>336100</v>
      </c>
    </row>
    <row r="30" spans="1:5" x14ac:dyDescent="0.3">
      <c r="B30" s="2">
        <v>7</v>
      </c>
      <c r="C30" s="35" t="s">
        <v>99</v>
      </c>
      <c r="D30" s="45">
        <f>+D146</f>
        <v>21240</v>
      </c>
      <c r="E30" s="59">
        <f t="shared" si="0"/>
        <v>70210</v>
      </c>
    </row>
    <row r="31" spans="1:5" x14ac:dyDescent="0.3">
      <c r="B31" s="2">
        <v>8</v>
      </c>
      <c r="C31" s="35" t="s">
        <v>100</v>
      </c>
      <c r="D31" s="45">
        <f>+D154</f>
        <v>80950</v>
      </c>
      <c r="E31" s="59">
        <f t="shared" si="0"/>
        <v>267600</v>
      </c>
    </row>
    <row r="32" spans="1:5" x14ac:dyDescent="0.3">
      <c r="B32" s="2">
        <v>9</v>
      </c>
      <c r="C32" s="35" t="s">
        <v>101</v>
      </c>
      <c r="D32" s="45">
        <f>+D161</f>
        <v>109450</v>
      </c>
      <c r="E32" s="59">
        <f t="shared" si="0"/>
        <v>361810</v>
      </c>
    </row>
    <row r="33" spans="1:7" x14ac:dyDescent="0.3">
      <c r="B33" s="2">
        <v>10</v>
      </c>
      <c r="C33" s="35" t="s">
        <v>154</v>
      </c>
      <c r="D33" s="53">
        <f>TRUNC(SUM(D24:D32)*0.275,-1)</f>
        <v>473060</v>
      </c>
      <c r="E33" s="60">
        <f t="shared" si="0"/>
        <v>1563840</v>
      </c>
    </row>
    <row r="34" spans="1:7" x14ac:dyDescent="0.3">
      <c r="C34" s="35" t="s">
        <v>112</v>
      </c>
      <c r="D34" s="44">
        <f>SUM(D24:D33)</f>
        <v>2193280</v>
      </c>
      <c r="E34" s="44">
        <f>SUM(E24:E33)</f>
        <v>7250500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TRUNC(48622,-1)</f>
        <v>48620</v>
      </c>
      <c r="E40" s="62">
        <f t="shared" ref="E40:E59" si="1">TRUNC(+D40*3.3058,-1)</f>
        <v>160720</v>
      </c>
    </row>
    <row r="41" spans="1:7" x14ac:dyDescent="0.3">
      <c r="A41" s="2">
        <v>2</v>
      </c>
      <c r="C41" s="38" t="s">
        <v>13</v>
      </c>
      <c r="D41" s="42">
        <f>TRUNC(136565,-1)</f>
        <v>136560</v>
      </c>
      <c r="E41" s="63">
        <f t="shared" si="1"/>
        <v>451440</v>
      </c>
    </row>
    <row r="42" spans="1:7" x14ac:dyDescent="0.3">
      <c r="A42" s="2">
        <v>3</v>
      </c>
      <c r="C42" s="38" t="s">
        <v>14</v>
      </c>
      <c r="D42" s="42">
        <f>TRUNC(14941,-1)</f>
        <v>14940</v>
      </c>
      <c r="E42" s="63">
        <f t="shared" si="1"/>
        <v>49380</v>
      </c>
    </row>
    <row r="43" spans="1:7" x14ac:dyDescent="0.3">
      <c r="A43" s="2">
        <v>4</v>
      </c>
      <c r="C43" s="38" t="s">
        <v>16</v>
      </c>
      <c r="D43" s="42">
        <f>TRUNC(30493,-1)</f>
        <v>30490</v>
      </c>
      <c r="E43" s="63">
        <f t="shared" si="1"/>
        <v>100790</v>
      </c>
    </row>
    <row r="44" spans="1:7" x14ac:dyDescent="0.3">
      <c r="A44" s="2">
        <v>5</v>
      </c>
      <c r="C44" s="38" t="s">
        <v>17</v>
      </c>
      <c r="D44" s="42">
        <f>TRUNC(18765,-1)</f>
        <v>18760</v>
      </c>
      <c r="E44" s="63">
        <f t="shared" si="1"/>
        <v>62010</v>
      </c>
    </row>
    <row r="45" spans="1:7" x14ac:dyDescent="0.3">
      <c r="A45" s="2">
        <v>6</v>
      </c>
      <c r="C45" s="38" t="s">
        <v>18</v>
      </c>
      <c r="D45" s="42">
        <f>TRUNC(16012,-1)</f>
        <v>16010</v>
      </c>
      <c r="E45" s="63">
        <f t="shared" si="1"/>
        <v>52920</v>
      </c>
    </row>
    <row r="46" spans="1:7" x14ac:dyDescent="0.3">
      <c r="A46" s="2">
        <v>7</v>
      </c>
      <c r="C46" s="38" t="s">
        <v>19</v>
      </c>
      <c r="D46" s="42">
        <f>TRUNC(40549,-1)</f>
        <v>40540</v>
      </c>
      <c r="E46" s="63">
        <f t="shared" si="1"/>
        <v>134010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TRUNC(22852,-1)</f>
        <v>22850</v>
      </c>
      <c r="E48" s="63">
        <f t="shared" si="1"/>
        <v>75530</v>
      </c>
      <c r="F48" s="2" t="s">
        <v>260</v>
      </c>
    </row>
    <row r="49" spans="1:7" x14ac:dyDescent="0.3">
      <c r="A49" s="2">
        <v>10</v>
      </c>
      <c r="C49" s="38" t="s">
        <v>22</v>
      </c>
      <c r="D49" s="42">
        <f>TRUNC(19324,-1)</f>
        <v>19320</v>
      </c>
      <c r="E49" s="63">
        <f t="shared" si="1"/>
        <v>63860</v>
      </c>
    </row>
    <row r="50" spans="1:7" x14ac:dyDescent="0.3">
      <c r="A50" s="2">
        <v>11</v>
      </c>
      <c r="C50" s="38" t="s">
        <v>155</v>
      </c>
      <c r="D50" s="42">
        <f>TRUNC(55737,-1)</f>
        <v>55730</v>
      </c>
      <c r="E50" s="63">
        <f t="shared" si="1"/>
        <v>184230</v>
      </c>
      <c r="F50" s="2" t="s">
        <v>261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TRUNC(14785,-1)</f>
        <v>14780</v>
      </c>
      <c r="E52" s="63">
        <f t="shared" si="1"/>
        <v>48850</v>
      </c>
    </row>
    <row r="53" spans="1:7" x14ac:dyDescent="0.3">
      <c r="A53" s="2">
        <v>14</v>
      </c>
      <c r="C53" s="38" t="s">
        <v>25</v>
      </c>
      <c r="D53" s="42">
        <f>TRUNC(184111,-1)</f>
        <v>184110</v>
      </c>
      <c r="E53" s="63">
        <f t="shared" si="1"/>
        <v>608630</v>
      </c>
      <c r="F53" s="2" t="s">
        <v>262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TRUNC(10333+13022+1510+19968,-1)</f>
        <v>44830</v>
      </c>
      <c r="E58" s="63">
        <f t="shared" si="1"/>
        <v>148190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TRUNC(441230,-1)</f>
        <v>441230</v>
      </c>
      <c r="E59" s="64">
        <f t="shared" si="1"/>
        <v>1458610</v>
      </c>
    </row>
    <row r="60" spans="1:7" x14ac:dyDescent="0.3">
      <c r="A60" s="2">
        <v>21</v>
      </c>
      <c r="C60" s="27" t="s">
        <v>112</v>
      </c>
      <c r="D60" s="39">
        <f>SUM(D40:D59)</f>
        <v>1088770</v>
      </c>
      <c r="E60" s="39">
        <f>SUM(E40:E59)</f>
        <v>3599170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TRUNC(2298,-1)</f>
        <v>2290</v>
      </c>
      <c r="E63" s="62">
        <f>TRUNC(+D63*3.3058,-1)</f>
        <v>7570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2290</v>
      </c>
      <c r="E66" s="65">
        <f>SUM(E63:E65)</f>
        <v>7570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TRUNC(8456,-1)</f>
        <v>8450</v>
      </c>
      <c r="E69" s="62">
        <f t="shared" ref="E69:E94" si="2">TRUNC(+D69*3.3058,-1)</f>
        <v>27930</v>
      </c>
    </row>
    <row r="70" spans="1:7" ht="16.5" customHeight="1" x14ac:dyDescent="0.3">
      <c r="A70" s="2">
        <v>2</v>
      </c>
      <c r="C70" s="38" t="s">
        <v>31</v>
      </c>
      <c r="D70" s="42">
        <f>TRUNC(11185,-1)</f>
        <v>11180</v>
      </c>
      <c r="E70" s="63">
        <f t="shared" si="2"/>
        <v>36950</v>
      </c>
    </row>
    <row r="71" spans="1:7" x14ac:dyDescent="0.3">
      <c r="A71" s="2">
        <v>3</v>
      </c>
      <c r="C71" s="38" t="s">
        <v>32</v>
      </c>
      <c r="D71" s="42">
        <f>TRUNC(6627,-1)</f>
        <v>6620</v>
      </c>
      <c r="E71" s="63">
        <f t="shared" si="2"/>
        <v>21880</v>
      </c>
    </row>
    <row r="72" spans="1:7" x14ac:dyDescent="0.3">
      <c r="A72" s="2">
        <v>4</v>
      </c>
      <c r="C72" s="38" t="s">
        <v>33</v>
      </c>
      <c r="D72" s="42">
        <f>TRUNC(4814,-1)</f>
        <v>4810</v>
      </c>
      <c r="E72" s="63">
        <f t="shared" si="2"/>
        <v>15900</v>
      </c>
    </row>
    <row r="73" spans="1:7" x14ac:dyDescent="0.3">
      <c r="A73" s="2">
        <v>5</v>
      </c>
      <c r="C73" s="38" t="s">
        <v>34</v>
      </c>
      <c r="D73" s="42">
        <f>TRUNC(13689,-1)</f>
        <v>13680</v>
      </c>
      <c r="E73" s="63">
        <f t="shared" si="2"/>
        <v>45220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TRUNC(361,-1)</f>
        <v>360</v>
      </c>
      <c r="E75" s="63">
        <f t="shared" si="2"/>
        <v>1190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TRUNC(3344,-1)</f>
        <v>3340</v>
      </c>
      <c r="E89" s="63">
        <f t="shared" si="2"/>
        <v>11040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TRUNC(5431,-1)</f>
        <v>5430</v>
      </c>
      <c r="E91" s="63">
        <f t="shared" si="2"/>
        <v>17950</v>
      </c>
    </row>
    <row r="92" spans="1:7" x14ac:dyDescent="0.3">
      <c r="A92" s="2">
        <v>24</v>
      </c>
      <c r="C92" s="38" t="s">
        <v>38</v>
      </c>
      <c r="D92" s="42">
        <f>TRUNC(8947,-1)</f>
        <v>8940</v>
      </c>
      <c r="E92" s="63">
        <f t="shared" si="2"/>
        <v>29550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TRUNC(1438+2010,-1)</f>
        <v>3440</v>
      </c>
      <c r="E94" s="64">
        <f t="shared" si="2"/>
        <v>11370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66250</v>
      </c>
      <c r="E95" s="39">
        <f>SUM(E69:E94)</f>
        <v>218980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TRUNC(36467,-1)</f>
        <v>36460</v>
      </c>
      <c r="E98" s="62">
        <f t="shared" ref="E98:E118" si="3">TRUNC(+D98*3.3058,-1)</f>
        <v>120520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TRUNC(33790,-1)</f>
        <v>33790</v>
      </c>
      <c r="E100" s="63">
        <f t="shared" si="3"/>
        <v>111700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TRUNC(17115,-1)</f>
        <v>17110</v>
      </c>
      <c r="E102" s="63">
        <f t="shared" si="3"/>
        <v>56560</v>
      </c>
    </row>
    <row r="103" spans="1:7" x14ac:dyDescent="0.3">
      <c r="A103" s="2">
        <v>6</v>
      </c>
      <c r="C103" s="38" t="s">
        <v>44</v>
      </c>
      <c r="D103" s="42">
        <f>TRUNC(7744,-1)</f>
        <v>7740</v>
      </c>
      <c r="E103" s="63">
        <f t="shared" si="3"/>
        <v>25580</v>
      </c>
    </row>
    <row r="104" spans="1:7" x14ac:dyDescent="0.3">
      <c r="A104" s="2">
        <v>7</v>
      </c>
      <c r="C104" s="38" t="s">
        <v>45</v>
      </c>
      <c r="D104" s="42">
        <f>TRUNC(3889,-1)</f>
        <v>3880</v>
      </c>
      <c r="E104" s="63">
        <f t="shared" si="3"/>
        <v>12820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TRUNC(147909,-1)</f>
        <v>147900</v>
      </c>
      <c r="E117" s="63">
        <f t="shared" si="3"/>
        <v>488920</v>
      </c>
    </row>
    <row r="118" spans="1:7" ht="17.25" thickBot="1" x14ac:dyDescent="0.35">
      <c r="A118" s="2">
        <v>21</v>
      </c>
      <c r="C118" s="38" t="s">
        <v>47</v>
      </c>
      <c r="D118" s="43">
        <f>TRUNC(2720,-1)</f>
        <v>2720</v>
      </c>
      <c r="E118" s="64">
        <f t="shared" si="3"/>
        <v>8990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249600</v>
      </c>
      <c r="E119" s="39">
        <f>SUM(E98:E118)</f>
        <v>825090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TRUNC(3989,-1)</f>
        <v>3980</v>
      </c>
      <c r="E122" s="62">
        <f t="shared" ref="E122:E132" si="4">TRUNC(+D122*3.3058,-1)</f>
        <v>13150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TRUNC(8543,-1)</f>
        <v>8540</v>
      </c>
      <c r="E125" s="63">
        <f t="shared" si="4"/>
        <v>28230</v>
      </c>
    </row>
    <row r="126" spans="1:7" x14ac:dyDescent="0.3">
      <c r="A126" s="2">
        <v>5</v>
      </c>
      <c r="C126" s="38" t="s">
        <v>53</v>
      </c>
      <c r="D126" s="42">
        <f>TRUNC(4591,-1)</f>
        <v>4590</v>
      </c>
      <c r="E126" s="63">
        <f t="shared" si="4"/>
        <v>15170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TRUNC(6983,-1)</f>
        <v>6980</v>
      </c>
      <c r="E128" s="63">
        <f t="shared" si="4"/>
        <v>23070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TRUNC(16045,-1)</f>
        <v>16040</v>
      </c>
      <c r="E130" s="63">
        <f t="shared" si="4"/>
        <v>53020</v>
      </c>
    </row>
    <row r="131" spans="1:7" x14ac:dyDescent="0.3">
      <c r="A131" s="2">
        <v>10</v>
      </c>
      <c r="C131" s="38" t="s">
        <v>148</v>
      </c>
      <c r="D131" s="42">
        <f>TRUNC(57634,-1)</f>
        <v>57630</v>
      </c>
      <c r="E131" s="63">
        <f t="shared" si="4"/>
        <v>190510</v>
      </c>
    </row>
    <row r="132" spans="1:7" ht="18" thickBot="1" x14ac:dyDescent="0.35">
      <c r="A132" s="2">
        <v>11</v>
      </c>
      <c r="C132" s="38" t="s">
        <v>47</v>
      </c>
      <c r="D132" s="43">
        <f>TRUNC(3913,-1)</f>
        <v>3910</v>
      </c>
      <c r="E132" s="64">
        <f t="shared" si="4"/>
        <v>12920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101670</v>
      </c>
      <c r="E133" s="39">
        <f>SUM(E122:E132)</f>
        <v>336070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TRUNC(13499,-1)</f>
        <v>13490</v>
      </c>
      <c r="E137" s="63">
        <f t="shared" si="5"/>
        <v>44590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TRUNC(7758,-1)</f>
        <v>7750</v>
      </c>
      <c r="E142" s="63">
        <f t="shared" si="5"/>
        <v>25610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21240</v>
      </c>
      <c r="E146" s="39">
        <f>SUM(E136:E145)</f>
        <v>70200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TRUNC(26630+2564,-1)</f>
        <v>29190</v>
      </c>
      <c r="E149" s="62">
        <f>TRUNC(+D149*3.3058,-1)</f>
        <v>96490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TRUNC(43146,-1)</f>
        <v>43140</v>
      </c>
      <c r="E150" s="63">
        <f>TRUNC(+D150*3.3058,-1)</f>
        <v>142610</v>
      </c>
    </row>
    <row r="151" spans="1:7" x14ac:dyDescent="0.3">
      <c r="A151" s="2">
        <v>3</v>
      </c>
      <c r="C151" s="38" t="s">
        <v>50</v>
      </c>
      <c r="D151" s="42">
        <f>TRUNC(1758,-1)</f>
        <v>1750</v>
      </c>
      <c r="E151" s="63">
        <f>TRUNC(+D151*3.3058,-1)</f>
        <v>5780</v>
      </c>
    </row>
    <row r="152" spans="1:7" x14ac:dyDescent="0.3">
      <c r="A152" s="2">
        <v>4</v>
      </c>
      <c r="C152" s="38" t="s">
        <v>47</v>
      </c>
      <c r="D152" s="42">
        <f>TRUNC(4831+2047,-1)</f>
        <v>6870</v>
      </c>
      <c r="E152" s="63">
        <f>TRUNC(+D152*3.3058,-1)</f>
        <v>22710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80950</v>
      </c>
      <c r="E154" s="39">
        <f>SUM(E149:E153)</f>
        <v>267590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TRUNC(60213,-1)</f>
        <v>60210</v>
      </c>
      <c r="E157" s="62">
        <f>TRUNC(+D157*3.3058,-1)</f>
        <v>199040</v>
      </c>
    </row>
    <row r="158" spans="1:7" x14ac:dyDescent="0.3">
      <c r="A158" s="2">
        <v>2</v>
      </c>
      <c r="C158" s="38" t="s">
        <v>52</v>
      </c>
      <c r="D158" s="42">
        <f>TRUNC(21993,-1)</f>
        <v>21990</v>
      </c>
      <c r="E158" s="63">
        <f>TRUNC(+D158*3.3058,-1)</f>
        <v>72690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f>TRUNC(22706+4547,-1)</f>
        <v>27250</v>
      </c>
      <c r="E159" s="63">
        <f>TRUNC(+D159*3.3058,-1)</f>
        <v>90080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109450</v>
      </c>
      <c r="E161" s="39">
        <f>SUM(E157:E160)</f>
        <v>361810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2020-12-08T02:53:09Z</dcterms:modified>
</cp:coreProperties>
</file>