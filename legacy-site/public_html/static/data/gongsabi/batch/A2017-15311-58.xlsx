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3" i="4"/>
  <c r="D72" i="4"/>
  <c r="D71" i="4"/>
  <c r="D70" i="4"/>
  <c r="D69" i="4"/>
  <c r="D118" i="4"/>
  <c r="D103" i="4"/>
  <c r="D102" i="4"/>
  <c r="D100" i="4"/>
  <c r="D99" i="4"/>
  <c r="D114" i="4"/>
  <c r="D98" i="4"/>
  <c r="D115" i="4"/>
  <c r="D104" i="4"/>
  <c r="D132" i="4"/>
  <c r="D124" i="4"/>
  <c r="D125" i="4"/>
  <c r="D122" i="4"/>
  <c r="D130" i="4"/>
  <c r="D126" i="4"/>
  <c r="D144" i="4"/>
  <c r="D143" i="4"/>
  <c r="D142" i="4"/>
  <c r="D141" i="4"/>
  <c r="D140" i="4"/>
  <c r="D139" i="4"/>
  <c r="D137" i="4"/>
  <c r="D63" i="4"/>
  <c r="D65" i="4"/>
  <c r="D152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66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<sst xmlns="http://schemas.openxmlformats.org/spreadsheetml/2006/main" count="394" uniqueCount="268">
  <si>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</si>
  <si>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</si>
  <si>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</si>
  <si>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</si>
  <si>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</si>
  <si>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</si>
  <si>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</si>
  <si>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</si>
  <si>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</si>
  <si>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</si>
  <si>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</si>
  <si>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</si>
  <si>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</si>
  <si>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</si>
  <si>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</si>
  <si>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</si>
  <si>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</si>
  <si>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</si>
  <si>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</si>
  <si>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</si>
  <si>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</si>
  <si>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</si>
  <si>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</si>
  <si>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</si>
  <si>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</si>
  <si>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</si>
  <si>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</si>
  <si>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</si>
  <si>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</si>
  <si>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</si>
  <si>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</si>
  <si>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</si>
  <si>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</si>
  <si>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</si>
  <si>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</si>
  <si>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</si>
  <si>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</si>
  <si>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</si>
  <si>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</si>
  <si>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</si>
  <si>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</si>
  <si>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</si>
  <si>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</si>
  <si>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</si>
  <si>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</si>
  <si>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</si>
  <si>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</si>
  <si>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</si>
  <si>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</si>
  <si>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</si>
  <si>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</si>
  <si>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</si>
  <si>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</si>
  <si>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</si>
  <si>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</si>
  <si>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</si>
  <si>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</si>
  <si>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</si>
  <si>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</si>
  <si>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</si>
  <si>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</si>
  <si>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</si>
  <si>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</si>
  <si>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</si>
  <si>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</si>
  <si>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</si>
  <si>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</si>
  <si>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</si>
  <si>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</si>
  <si>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</si>
  <si>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</si>
  <si>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</si>
  <si>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</si>
  <si>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</si>
  <si>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</si>
  <si>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</si>
  <si>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</si>
  <si>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</si>
  <si>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</si>
  <si>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</si>
  <si>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</si>
  <si>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</si>
  <si>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</si>
  <si>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</si>
  <si>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</si>
  <si>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</si>
  <si>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</si>
  <si>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</si>
  <si>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</si>
  <si>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</si>
  <si>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</si>
  <si>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</si>
  <si>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</si>
  <si>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</si>
  <si>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</si>
  <si>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</si>
  <si>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</si>
  <si>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</si>
  <si>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</si>
  <si>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</si>
  <si>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</si>
  <si>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</si>
  <si>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</si>
  <si>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</si>
  <si>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</si>
  <si>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</si>
  <si>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</si>
  <si>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</si>
  <si>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</si>
  <si>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</si>
  <si>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</si>
  <si>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</si>
  <si>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</si>
  <si>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</si>
  <si>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</si>
  <si>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</si>
  <si>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</si>
  <si>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</si>
  <si>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</si>
  <si>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</si>
  <si>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</si>
  <si>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</si>
  <si>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</si>
  <si>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</si>
  <si>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</si>
  <si>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</si>
  <si>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</si>
  <si>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</si>
  <si>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</si>
  <si>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</si>
  <si>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</si>
  <si>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</si>
  <si>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</si>
  <si>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</si>
  <si>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</si>
  <si>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</si>
  <si>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</si>
  <si>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</si>
  <si>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</si>
  <si>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</si>
  <si>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</si>
  <si>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</si>
  <si>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</si>
  <si>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</si>
  <si>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</si>
  <si>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</si>
  <si>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</si>
  <si>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</si>
  <si>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</si>
  <si>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</si>
  <si>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</si>
  <si>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</si>
  <si>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</si>
  <si>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</si>
  <si>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</si>
  <si>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</si>
  <si>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</si>
  <si>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</si>
  <si>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</si>
  <si>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</si>
  <si>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</si>
  <si>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</si>
  <si>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</si>
  <si>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</si>
  <si>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</si>
  <si>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</si>
  <si>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</si>
  <si>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</si>
  <si>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</si>
  <si>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</si>
  <si>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</si>
  <si>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</si>
  <si>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</si>
  <si>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</si>
  <si>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</si>
  <si>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</si>
  <si>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</si>
  <si>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</si>
  <si>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</si>
  <si>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</si>
  <si>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</si>
  <si>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</si>
  <si>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</si>
  <si>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</si>
  <si>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</si>
  <si>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</si>
  <si>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</si>
  <si>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</si>
  <si>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</si>
  <si>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</si>
  <si>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</si>
  <si>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</si>
  <si>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</si>
  <si>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</si>
  <si>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</si>
  <si>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</si>
  <si>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</si>
  <si>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</si>
  <si>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</si>
  <si>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</si>
  <si>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</si>
  <si>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</si>
  <si>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</si>
  <si>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</si>
  <si>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</si>
  <si>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</si>
  <si>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</si>
  <si>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</si>
  <si>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</si>
  <si>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</si>
  <si>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</si>
  <si>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</si>
  <si>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</si>
  <si>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</si>
  <si>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</si>
  <si>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</si>
  <si>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</si>
  <si>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</si>
  <si>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</si>
  <si>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</si>
  <si>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</si>
  <si>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</si>
  <si>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</si>
  <si>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</si>
  <si>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</si>
  <si>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</si>
  <si>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</si>
  <si>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</si>
  <si>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</si>
  <si>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</si>
  <si>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</si>
  <si>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</si>
  <si>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</si>
  <si>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</si>
  <si>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</si>
  <si>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</si>
  <si>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</si>
  <si>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</si>
  <si>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</si>
  <si>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</si>
  <si>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</si>
  <si>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</si>
  <si>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</si>
  <si>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</si>
  <si>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</si>
  <si>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</si>
  <si>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</si>
  <si>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</si>
  <si>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</si>
  <si>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청주 지식산업센터 건립공사</t>
    <phoneticPr fontId="2" type="noConversion"/>
  </si>
  <si>
    <t>공장</t>
  </si>
  <si>
    <t>충청도</t>
  </si>
  <si>
    <t>조경시설물</t>
    <phoneticPr fontId="2" type="noConversion"/>
  </si>
  <si>
    <t>포장공사,기타공사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</si>
  <si>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</si>
  <si>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</si>
  <si>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옥외소화배관공사,펌프실배관공사,기타공사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</si>
  <si>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</si>
  <si>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</si>
  <si>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전기인입 및 수변전 설비공사</t>
    <phoneticPr fontId="2" type="noConversion"/>
  </si>
  <si>
    <t>원격검침설비공사,기타공사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</si>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</sst>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8381.35</v>
      </c>
      <c r="D7" s="36">
        <f>+C7/3.3058</f>
        <v>2535.3469659386533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840230</v>
      </c>
      <c r="E25" s="59">
        <f t="shared" si="0"/>
        <v>2777630</v>
      </c>
    </row>
    <row r="26" spans="1:5" x14ac:dyDescent="0.3">
      <c r="B26" s="2">
        <v>3</v>
      </c>
      <c r="C26" s="35" t="s">
        <v>95</v>
      </c>
      <c r="D26" s="45">
        <f>+D66</f>
        <v>15870</v>
      </c>
      <c r="E26" s="59">
        <f t="shared" si="0"/>
        <v>52460</v>
      </c>
    </row>
    <row r="27" spans="1:5" x14ac:dyDescent="0.3">
      <c r="B27" s="2">
        <v>4</v>
      </c>
      <c r="C27" s="35" t="s">
        <v>96</v>
      </c>
      <c r="D27" s="45">
        <f>+D95</f>
        <v>48090</v>
      </c>
      <c r="E27" s="59">
        <f t="shared" si="0"/>
        <v>158970</v>
      </c>
    </row>
    <row r="28" spans="1:5" x14ac:dyDescent="0.3">
      <c r="B28" s="2">
        <v>5</v>
      </c>
      <c r="C28" s="35" t="s">
        <v>97</v>
      </c>
      <c r="D28" s="45">
        <f>+D119</f>
        <v>204570</v>
      </c>
      <c r="E28" s="59">
        <f t="shared" si="0"/>
        <v>676260</v>
      </c>
    </row>
    <row r="29" spans="1:5" x14ac:dyDescent="0.3">
      <c r="B29" s="2">
        <v>6</v>
      </c>
      <c r="C29" s="35" t="s">
        <v>98</v>
      </c>
      <c r="D29" s="45">
        <f>+D133</f>
        <v>62810</v>
      </c>
      <c r="E29" s="59">
        <f t="shared" si="0"/>
        <v>207630</v>
      </c>
    </row>
    <row r="30" spans="1:5" x14ac:dyDescent="0.3">
      <c r="B30" s="2">
        <v>7</v>
      </c>
      <c r="C30" s="35" t="s">
        <v>99</v>
      </c>
      <c r="D30" s="45">
        <f>+D146</f>
        <v>74180</v>
      </c>
      <c r="E30" s="59">
        <f t="shared" si="0"/>
        <v>245220</v>
      </c>
    </row>
    <row r="31" spans="1:5" x14ac:dyDescent="0.3">
      <c r="B31" s="2">
        <v>8</v>
      </c>
      <c r="C31" s="35" t="s">
        <v>100</v>
      </c>
      <c r="D31" s="45">
        <f>+D154</f>
        <v>11010</v>
      </c>
      <c r="E31" s="59">
        <f t="shared" si="0"/>
        <v>36390</v>
      </c>
    </row>
    <row r="32" spans="1:5" x14ac:dyDescent="0.3">
      <c r="B32" s="2">
        <v>9</v>
      </c>
      <c r="C32" s="35" t="s">
        <v>101</v>
      </c>
      <c r="D32" s="45">
        <f>+D161</f>
        <v>23030</v>
      </c>
      <c r="E32" s="59">
        <f t="shared" si="0"/>
        <v>76130</v>
      </c>
    </row>
    <row r="33" spans="1:7" x14ac:dyDescent="0.3">
      <c r="B33" s="2">
        <v>10</v>
      </c>
      <c r="C33" s="35" t="s">
        <v>155</v>
      </c>
      <c r="D33" s="53">
        <f>TRUNC(SUM(D24:D32)*0.275,-1)</f>
        <v>351940</v>
      </c>
      <c r="E33" s="60">
        <f t="shared" si="0"/>
        <v>1163440</v>
      </c>
    </row>
    <row r="34" spans="1:7" x14ac:dyDescent="0.3">
      <c r="C34" s="35" t="s">
        <v>112</v>
      </c>
      <c r="D34" s="44">
        <f>SUM(D24:D33)</f>
        <v>1631730</v>
      </c>
      <c r="E34" s="44">
        <f>SUM(E24:E33)</f>
        <v>5394130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TRUNC(46234,-1)</f>
        <v>46230</v>
      </c>
      <c r="E40" s="62">
        <f t="shared" ref="E40:E59" si="1">TRUNC(+D40*3.3058,-1)</f>
        <v>152820</v>
      </c>
    </row>
    <row r="41" spans="1:7" x14ac:dyDescent="0.3">
      <c r="A41" s="2">
        <v>2</v>
      </c>
      <c r="C41" s="38" t="s">
        <v>13</v>
      </c>
      <c r="D41" s="42">
        <f>TRUNC(133955,-1)</f>
        <v>133950</v>
      </c>
      <c r="E41" s="63">
        <f t="shared" si="1"/>
        <v>442810</v>
      </c>
    </row>
    <row r="42" spans="1:7" x14ac:dyDescent="0.3">
      <c r="A42" s="2">
        <v>3</v>
      </c>
      <c r="C42" s="38" t="s">
        <v>14</v>
      </c>
      <c r="D42" s="42">
        <f>TRUNC(24761,-1)</f>
        <v>24760</v>
      </c>
      <c r="E42" s="63">
        <f t="shared" si="1"/>
        <v>81850</v>
      </c>
    </row>
    <row r="43" spans="1:7" x14ac:dyDescent="0.3">
      <c r="A43" s="2">
        <v>4</v>
      </c>
      <c r="C43" s="38" t="s">
        <v>16</v>
      </c>
      <c r="D43" s="42">
        <f>TRUNC(19362,-1)</f>
        <v>19360</v>
      </c>
      <c r="E43" s="63">
        <f t="shared" si="1"/>
        <v>64000</v>
      </c>
    </row>
    <row r="44" spans="1:7" x14ac:dyDescent="0.3">
      <c r="A44" s="2">
        <v>5</v>
      </c>
      <c r="C44" s="38" t="s">
        <v>17</v>
      </c>
      <c r="D44" s="42">
        <f>TRUNC(34267,-1)</f>
        <v>34260</v>
      </c>
      <c r="E44" s="63">
        <f t="shared" si="1"/>
        <v>113250</v>
      </c>
    </row>
    <row r="45" spans="1:7" x14ac:dyDescent="0.3">
      <c r="A45" s="2">
        <v>6</v>
      </c>
      <c r="C45" s="38" t="s">
        <v>18</v>
      </c>
      <c r="D45" s="42">
        <f>TRUNC(11225,-1)</f>
        <v>11220</v>
      </c>
      <c r="E45" s="63">
        <f t="shared" si="1"/>
        <v>37090</v>
      </c>
    </row>
    <row r="46" spans="1:7" x14ac:dyDescent="0.3">
      <c r="A46" s="2">
        <v>7</v>
      </c>
      <c r="C46" s="38" t="s">
        <v>19</v>
      </c>
      <c r="D46" s="42">
        <f>TRUNC(45070,-1)</f>
        <v>45070</v>
      </c>
      <c r="E46" s="63">
        <f t="shared" si="1"/>
        <v>148990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TRUNC(70741,-1)</f>
        <v>70740</v>
      </c>
      <c r="E48" s="63">
        <f t="shared" si="1"/>
        <v>233850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TRUNC(10006,-1)</f>
        <v>10000</v>
      </c>
      <c r="E49" s="63">
        <f t="shared" si="1"/>
        <v>33050</v>
      </c>
    </row>
    <row r="50" spans="1:7" x14ac:dyDescent="0.3">
      <c r="A50" s="2">
        <v>11</v>
      </c>
      <c r="C50" s="38" t="s">
        <v>156</v>
      </c>
      <c r="D50" s="42">
        <f>TRUNC(48604,-1)</f>
        <v>48600</v>
      </c>
      <c r="E50" s="63">
        <f t="shared" si="1"/>
        <v>160660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TRUNC(24319,-1)</f>
        <v>24310</v>
      </c>
      <c r="E52" s="63">
        <f t="shared" si="1"/>
        <v>80360</v>
      </c>
    </row>
    <row r="53" spans="1:7" x14ac:dyDescent="0.3">
      <c r="A53" s="2">
        <v>14</v>
      </c>
      <c r="C53" s="38" t="s">
        <v>25</v>
      </c>
      <c r="D53" s="42">
        <f>TRUNC(55906,-1)</f>
        <v>55900</v>
      </c>
      <c r="E53" s="63">
        <f t="shared" si="1"/>
        <v>184790</v>
      </c>
      <c r="F53" s="2" t="s">
        <v>263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TRUNC(3263+54+5286-545+1583+4556,-1)</f>
        <v>14190</v>
      </c>
      <c r="E58" s="63">
        <f t="shared" si="1"/>
        <v>46900</v>
      </c>
      <c r="F58" s="2" t="s">
        <v>264</v>
      </c>
    </row>
    <row r="59" spans="1:7" ht="17.25" thickBot="1" x14ac:dyDescent="0.35">
      <c r="A59" s="2">
        <v>20</v>
      </c>
      <c r="C59" s="38" t="s">
        <v>149</v>
      </c>
      <c r="D59" s="43">
        <f>TRUNC(301647,-1)</f>
        <v>301640</v>
      </c>
      <c r="E59" s="64">
        <f t="shared" si="1"/>
        <v>997160</v>
      </c>
    </row>
    <row r="60" spans="1:7" x14ac:dyDescent="0.3">
      <c r="A60" s="2">
        <v>21</v>
      </c>
      <c r="C60" s="27" t="s">
        <v>112</v>
      </c>
      <c r="D60" s="39">
        <f>SUM(D40:D59)</f>
        <v>840230</v>
      </c>
      <c r="E60" s="39">
        <f>SUM(E40:E59)</f>
        <v>2777580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TRUNC(1557,-1)</f>
        <v>1550</v>
      </c>
      <c r="E63" s="62">
        <f>TRUNC(+D63*3.3058,-1)</f>
        <v>5120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TRUNC(14322,-1)</f>
        <v>14320</v>
      </c>
      <c r="E65" s="64">
        <f>TRUNC(+D65*3.3058,-1)</f>
        <v>47330</v>
      </c>
    </row>
    <row r="66" spans="1:7" x14ac:dyDescent="0.3">
      <c r="A66" s="2">
        <v>4</v>
      </c>
      <c r="C66" s="27" t="s">
        <v>112</v>
      </c>
      <c r="D66" s="39">
        <f>SUM(D63:D65)</f>
        <v>15870</v>
      </c>
      <c r="E66" s="65">
        <f>SUM(E63:E65)</f>
        <v>52450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TRUNC(4168,-1)</f>
        <v>4160</v>
      </c>
      <c r="E69" s="62">
        <f t="shared" ref="E69:E94" si="2">TRUNC(+D69*3.3058,-1)</f>
        <v>13750</v>
      </c>
    </row>
    <row r="70" spans="1:7" ht="16.5" customHeight="1" x14ac:dyDescent="0.3">
      <c r="A70" s="2">
        <v>2</v>
      </c>
      <c r="C70" s="38" t="s">
        <v>31</v>
      </c>
      <c r="D70" s="42">
        <f>TRUNC(117,-1)</f>
        <v>110</v>
      </c>
      <c r="E70" s="63">
        <f t="shared" si="2"/>
        <v>360</v>
      </c>
    </row>
    <row r="71" spans="1:7" x14ac:dyDescent="0.3">
      <c r="A71" s="2">
        <v>3</v>
      </c>
      <c r="C71" s="38" t="s">
        <v>32</v>
      </c>
      <c r="D71" s="42">
        <f>TRUNC(3964,-1)</f>
        <v>3960</v>
      </c>
      <c r="E71" s="63">
        <f t="shared" si="2"/>
        <v>13090</v>
      </c>
    </row>
    <row r="72" spans="1:7" x14ac:dyDescent="0.3">
      <c r="A72" s="2">
        <v>4</v>
      </c>
      <c r="C72" s="38" t="s">
        <v>33</v>
      </c>
      <c r="D72" s="42">
        <f>TRUNC(4309,-1)</f>
        <v>4300</v>
      </c>
      <c r="E72" s="63">
        <f t="shared" si="2"/>
        <v>14210</v>
      </c>
    </row>
    <row r="73" spans="1:7" x14ac:dyDescent="0.3">
      <c r="A73" s="2">
        <v>5</v>
      </c>
      <c r="C73" s="38" t="s">
        <v>34</v>
      </c>
      <c r="D73" s="42">
        <f>TRUNC(6260,-1)</f>
        <v>6260</v>
      </c>
      <c r="E73" s="63">
        <f t="shared" si="2"/>
        <v>20690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TRUNC(8713,-1)</f>
        <v>8710</v>
      </c>
      <c r="E89" s="63">
        <f t="shared" si="2"/>
        <v>28790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TRUNC(8177,-1)</f>
        <v>8170</v>
      </c>
      <c r="E91" s="63">
        <f t="shared" si="2"/>
        <v>27000</v>
      </c>
    </row>
    <row r="92" spans="1:7" x14ac:dyDescent="0.3">
      <c r="A92" s="2">
        <v>24</v>
      </c>
      <c r="C92" s="38" t="s">
        <v>38</v>
      </c>
      <c r="D92" s="42">
        <f>TRUNC(7146,-1)</f>
        <v>7140</v>
      </c>
      <c r="E92" s="63">
        <f t="shared" si="2"/>
        <v>23600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TRUNC(5289,-1)</f>
        <v>5280</v>
      </c>
      <c r="E94" s="64">
        <f t="shared" si="2"/>
        <v>17450</v>
      </c>
    </row>
    <row r="95" spans="1:7" x14ac:dyDescent="0.3">
      <c r="A95" s="2">
        <v>27</v>
      </c>
      <c r="C95" s="27" t="s">
        <v>112</v>
      </c>
      <c r="D95" s="39">
        <f>SUM(D69:D94)</f>
        <v>48090</v>
      </c>
      <c r="E95" s="39">
        <f>SUM(E69:E94)</f>
        <v>158940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TRUNC(34902,-1)</f>
        <v>34900</v>
      </c>
      <c r="E98" s="62">
        <f t="shared" ref="E98:E118" si="3">TRUNC(+D98*3.3058,-1)</f>
        <v>115370</v>
      </c>
    </row>
    <row r="99" spans="1:7" x14ac:dyDescent="0.3">
      <c r="A99" s="2">
        <v>2</v>
      </c>
      <c r="C99" s="38" t="s">
        <v>40</v>
      </c>
      <c r="D99" s="42">
        <f>TRUNC(2127,-1)</f>
        <v>2120</v>
      </c>
      <c r="E99" s="63">
        <f t="shared" si="3"/>
        <v>7000</v>
      </c>
    </row>
    <row r="100" spans="1:7" x14ac:dyDescent="0.3">
      <c r="A100" s="2">
        <v>3</v>
      </c>
      <c r="C100" s="38" t="s">
        <v>41</v>
      </c>
      <c r="D100" s="42">
        <f>TRUNC(29027,-1)</f>
        <v>29020</v>
      </c>
      <c r="E100" s="63">
        <f t="shared" si="3"/>
        <v>95930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TRUNC(9764,-1)</f>
        <v>9760</v>
      </c>
      <c r="E102" s="63">
        <f t="shared" si="3"/>
        <v>32260</v>
      </c>
    </row>
    <row r="103" spans="1:7" x14ac:dyDescent="0.3">
      <c r="A103" s="2">
        <v>6</v>
      </c>
      <c r="C103" s="38" t="s">
        <v>44</v>
      </c>
      <c r="D103" s="42">
        <f>TRUNC(1431,-1)</f>
        <v>1430</v>
      </c>
      <c r="E103" s="63">
        <f t="shared" si="3"/>
        <v>4720</v>
      </c>
    </row>
    <row r="104" spans="1:7" x14ac:dyDescent="0.3">
      <c r="A104" s="2">
        <v>7</v>
      </c>
      <c r="C104" s="38" t="s">
        <v>45</v>
      </c>
      <c r="D104" s="42">
        <f>TRUNC(2545,-1)</f>
        <v>2540</v>
      </c>
      <c r="E104" s="63">
        <f t="shared" si="3"/>
        <v>8390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TRUNC(627,-1)</f>
        <v>620</v>
      </c>
      <c r="E114" s="63">
        <f t="shared" si="3"/>
        <v>2040</v>
      </c>
    </row>
    <row r="115" spans="1:7" x14ac:dyDescent="0.3">
      <c r="A115" s="2">
        <v>18</v>
      </c>
      <c r="C115" s="38" t="s">
        <v>116</v>
      </c>
      <c r="D115" s="42">
        <f>TRUNC(9800,-1)</f>
        <v>9800</v>
      </c>
      <c r="E115" s="63">
        <f t="shared" si="3"/>
        <v>32390</v>
      </c>
      <c r="F115" s="2" t="s">
        <v>259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TRUNC(107366,-1)</f>
        <v>107360</v>
      </c>
      <c r="E117" s="63">
        <f t="shared" si="3"/>
        <v>354910</v>
      </c>
    </row>
    <row r="118" spans="1:7" ht="17.25" thickBot="1" x14ac:dyDescent="0.35">
      <c r="A118" s="2">
        <v>21</v>
      </c>
      <c r="C118" s="38" t="s">
        <v>47</v>
      </c>
      <c r="D118" s="43">
        <f>TRUNC(4035+2990,-1)</f>
        <v>7020</v>
      </c>
      <c r="E118" s="64">
        <f t="shared" si="3"/>
        <v>23200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204570</v>
      </c>
      <c r="E119" s="39">
        <f>SUM(E98:E118)</f>
        <v>676210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TRUNC(2144,-1)</f>
        <v>2140</v>
      </c>
      <c r="E122" s="62">
        <f t="shared" ref="E122:E132" si="4">TRUNC(+D122*3.3058,-1)</f>
        <v>7070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TRUNC(561,-1)</f>
        <v>560</v>
      </c>
      <c r="E124" s="63">
        <f t="shared" si="4"/>
        <v>1850</v>
      </c>
    </row>
    <row r="125" spans="1:7" x14ac:dyDescent="0.3">
      <c r="A125" s="2">
        <v>4</v>
      </c>
      <c r="C125" s="38" t="s">
        <v>138</v>
      </c>
      <c r="D125" s="42">
        <f>TRUNC(9861,-1)</f>
        <v>9860</v>
      </c>
      <c r="E125" s="63">
        <f t="shared" si="4"/>
        <v>32590</v>
      </c>
    </row>
    <row r="126" spans="1:7" x14ac:dyDescent="0.3">
      <c r="A126" s="2">
        <v>5</v>
      </c>
      <c r="C126" s="38" t="s">
        <v>53</v>
      </c>
      <c r="D126" s="42">
        <f>TRUNC(888,-1)</f>
        <v>880</v>
      </c>
      <c r="E126" s="63">
        <f t="shared" si="4"/>
        <v>2900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TRUNC(19217,-1)</f>
        <v>19210</v>
      </c>
      <c r="E130" s="63">
        <f t="shared" si="4"/>
        <v>63500</v>
      </c>
    </row>
    <row r="131" spans="1:7" x14ac:dyDescent="0.3">
      <c r="A131" s="2">
        <v>10</v>
      </c>
      <c r="C131" s="38" t="s">
        <v>149</v>
      </c>
      <c r="D131" s="42">
        <f>TRUNC(24101,-1)</f>
        <v>24100</v>
      </c>
      <c r="E131" s="63">
        <f t="shared" si="4"/>
        <v>79660</v>
      </c>
    </row>
    <row r="132" spans="1:7" ht="18" thickBot="1" x14ac:dyDescent="0.35">
      <c r="A132" s="2">
        <v>11</v>
      </c>
      <c r="C132" s="38" t="s">
        <v>47</v>
      </c>
      <c r="D132" s="43">
        <f>TRUNC(4085+1659+321,-1)</f>
        <v>6060</v>
      </c>
      <c r="E132" s="64">
        <f t="shared" si="4"/>
        <v>20030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62810</v>
      </c>
      <c r="E133" s="39">
        <f>SUM(E122:E132)</f>
        <v>207600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TRUNC(291+2743+2200,-1)</f>
        <v>5230</v>
      </c>
      <c r="E137" s="63">
        <f t="shared" si="5"/>
        <v>17280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TRUNC(3616,-1)</f>
        <v>3610</v>
      </c>
      <c r="E139" s="63">
        <f t="shared" si="5"/>
        <v>11930</v>
      </c>
    </row>
    <row r="140" spans="1:7" x14ac:dyDescent="0.3">
      <c r="A140" s="2">
        <v>5</v>
      </c>
      <c r="C140" s="38" t="s">
        <v>57</v>
      </c>
      <c r="D140" s="42">
        <f>TRUNC(2648,-1)</f>
        <v>2640</v>
      </c>
      <c r="E140" s="63">
        <f t="shared" si="5"/>
        <v>8720</v>
      </c>
    </row>
    <row r="141" spans="1:7" x14ac:dyDescent="0.3">
      <c r="A141" s="2">
        <v>6</v>
      </c>
      <c r="C141" s="38" t="s">
        <v>59</v>
      </c>
      <c r="D141" s="42">
        <f>TRUNC(25259,-1)</f>
        <v>25250</v>
      </c>
      <c r="E141" s="63">
        <f t="shared" si="5"/>
        <v>83470</v>
      </c>
    </row>
    <row r="142" spans="1:7" x14ac:dyDescent="0.3">
      <c r="A142" s="2">
        <v>7</v>
      </c>
      <c r="C142" s="38" t="s">
        <v>58</v>
      </c>
      <c r="D142" s="42">
        <f>TRUNC(7825,-1)</f>
        <v>7820</v>
      </c>
      <c r="E142" s="63">
        <f t="shared" si="5"/>
        <v>25850</v>
      </c>
    </row>
    <row r="143" spans="1:7" x14ac:dyDescent="0.3">
      <c r="A143" s="2">
        <v>8</v>
      </c>
      <c r="C143" s="38" t="s">
        <v>62</v>
      </c>
      <c r="D143" s="42">
        <f>TRUNC(6034,-1)</f>
        <v>6030</v>
      </c>
      <c r="E143" s="63">
        <f t="shared" si="5"/>
        <v>19930</v>
      </c>
    </row>
    <row r="144" spans="1:7" x14ac:dyDescent="0.3">
      <c r="A144" s="2">
        <v>9</v>
      </c>
      <c r="C144" s="38" t="s">
        <v>63</v>
      </c>
      <c r="D144" s="42">
        <f>TRUNC(23602,-1)</f>
        <v>23600</v>
      </c>
      <c r="E144" s="63">
        <f t="shared" si="5"/>
        <v>78010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74180</v>
      </c>
      <c r="E146" s="39">
        <f>SUM(E136:E145)</f>
        <v>245190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TRUNC(3395+1149,-1)</f>
        <v>4540</v>
      </c>
      <c r="E149" s="62">
        <f>TRUNC(+D149*3.3058,-1)</f>
        <v>15000</v>
      </c>
      <c r="F149" s="2" t="s">
        <v>254</v>
      </c>
    </row>
    <row r="150" spans="1:7" x14ac:dyDescent="0.3">
      <c r="A150" s="2">
        <v>2</v>
      </c>
      <c r="C150" s="38" t="s">
        <v>49</v>
      </c>
      <c r="D150" s="42">
        <f>TRUNC(1782,-1)</f>
        <v>1780</v>
      </c>
      <c r="E150" s="63">
        <f>TRUNC(+D150*3.3058,-1)</f>
        <v>5880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TRUNC(749+3845+104,-1)</f>
        <v>4690</v>
      </c>
      <c r="E152" s="63">
        <f>TRUNC(+D152*3.3058,-1)</f>
        <v>15500</v>
      </c>
      <c r="F152" s="2" t="s">
        <v>255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11010</v>
      </c>
      <c r="E154" s="39">
        <f>SUM(E149:E153)</f>
        <v>36380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TRUNC(11152,-1)</f>
        <v>11150</v>
      </c>
      <c r="E157" s="62">
        <f>TRUNC(+D157*3.3058,-1)</f>
        <v>36850</v>
      </c>
    </row>
    <row r="158" spans="1:7" x14ac:dyDescent="0.3">
      <c r="A158" s="2">
        <v>2</v>
      </c>
      <c r="C158" s="38" t="s">
        <v>52</v>
      </c>
      <c r="D158" s="42">
        <f>TRUNC(572,-1)</f>
        <v>570</v>
      </c>
      <c r="E158" s="63">
        <f>TRUNC(+D158*3.3058,-1)</f>
        <v>1880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TRUNC(9407+1903,-1)</f>
        <v>11310</v>
      </c>
      <c r="E159" s="63">
        <f>TRUNC(+D159*3.3058,-1)</f>
        <v>37380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23030</v>
      </c>
      <c r="E161" s="39">
        <f>SUM(E157:E160)</f>
        <v>76110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2020-12-08T02:07:11Z</dcterms:modified>
</cp:coreProperties>
</file>