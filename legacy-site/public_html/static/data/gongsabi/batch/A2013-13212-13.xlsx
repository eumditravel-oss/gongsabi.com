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3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79" i="4" l="1"/>
  <c r="D94" i="4"/>
  <c r="D99" i="4" l="1"/>
  <c r="D118" i="4"/>
  <c r="D136" i="4"/>
  <c r="E160" i="4" l="1"/>
  <c r="E158" i="4"/>
  <c r="E157" i="4"/>
  <c r="E153" i="4"/>
  <c r="E151" i="4"/>
  <c r="E150" i="4"/>
  <c r="E149" i="4"/>
  <c r="E145" i="4"/>
  <c r="E144" i="4"/>
  <c r="E143" i="4"/>
  <c r="E142" i="4"/>
  <c r="E141" i="4"/>
  <c r="E140" i="4"/>
  <c r="E139" i="4"/>
  <c r="E138" i="4"/>
  <c r="E136" i="4"/>
  <c r="E130" i="4"/>
  <c r="E129" i="4"/>
  <c r="E127" i="4"/>
  <c r="E126" i="4"/>
  <c r="E123" i="4"/>
  <c r="E118" i="4"/>
  <c r="E114" i="4"/>
  <c r="E113" i="4"/>
  <c r="E112" i="4"/>
  <c r="E111" i="4"/>
  <c r="E110" i="4"/>
  <c r="E109" i="4"/>
  <c r="E107" i="4"/>
  <c r="E106" i="4"/>
  <c r="E103" i="4"/>
  <c r="E101" i="4"/>
  <c r="E99" i="4"/>
  <c r="E94" i="4"/>
  <c r="E92" i="4"/>
  <c r="E91" i="4"/>
  <c r="E89" i="4"/>
  <c r="E88" i="4"/>
  <c r="E87" i="4"/>
  <c r="E86" i="4"/>
  <c r="E85" i="4"/>
  <c r="E83" i="4"/>
  <c r="E82" i="4"/>
  <c r="E80" i="4"/>
  <c r="E79" i="4"/>
  <c r="E78" i="4"/>
  <c r="E77" i="4"/>
  <c r="E76" i="4"/>
  <c r="E75" i="4"/>
  <c r="E74" i="4"/>
  <c r="E73" i="4"/>
  <c r="E65" i="4"/>
  <c r="E64" i="4"/>
  <c r="E63" i="4"/>
  <c r="E66" i="4" s="1"/>
  <c r="E57" i="4"/>
  <c r="E56" i="4"/>
  <c r="E55" i="4"/>
  <c r="E54" i="4"/>
  <c r="E42" i="4"/>
  <c r="D131" i="4" l="1"/>
  <c r="E131" i="4" s="1"/>
  <c r="D132" i="4"/>
  <c r="E132" i="4" s="1"/>
  <c r="D128" i="4"/>
  <c r="E128" i="4" s="1"/>
  <c r="D124" i="4"/>
  <c r="E124" i="4" s="1"/>
  <c r="D125" i="4"/>
  <c r="E125" i="4" s="1"/>
  <c r="D122" i="4"/>
  <c r="E122" i="4" s="1"/>
  <c r="D117" i="4"/>
  <c r="E117" i="4" s="1"/>
  <c r="D105" i="4"/>
  <c r="E105" i="4" s="1"/>
  <c r="D104" i="4"/>
  <c r="E104" i="4" s="1"/>
  <c r="D108" i="4"/>
  <c r="E108" i="4" s="1"/>
  <c r="D102" i="4"/>
  <c r="E102" i="4" s="1"/>
  <c r="D100" i="4"/>
  <c r="E100" i="4" s="1"/>
  <c r="E119" i="4" s="1"/>
  <c r="D98" i="4"/>
  <c r="E98" i="4" s="1"/>
  <c r="D115" i="4"/>
  <c r="E115" i="4" s="1"/>
  <c r="D116" i="4"/>
  <c r="E116" i="4" s="1"/>
  <c r="D137" i="4"/>
  <c r="E137" i="4" s="1"/>
  <c r="E146" i="4" s="1"/>
  <c r="D93" i="4"/>
  <c r="E93" i="4" s="1"/>
  <c r="D84" i="4"/>
  <c r="E84" i="4" s="1"/>
  <c r="D81" i="4"/>
  <c r="E81" i="4" s="1"/>
  <c r="D90" i="4"/>
  <c r="E90" i="4" s="1"/>
  <c r="D72" i="4"/>
  <c r="E72" i="4" s="1"/>
  <c r="D71" i="4"/>
  <c r="E71" i="4" s="1"/>
  <c r="D70" i="4"/>
  <c r="E70" i="4" s="1"/>
  <c r="D69" i="4"/>
  <c r="E69" i="4" s="1"/>
  <c r="E95" i="4" s="1"/>
  <c r="D59" i="4"/>
  <c r="E59" i="4" s="1"/>
  <c r="D58" i="4"/>
  <c r="E58" i="4" s="1"/>
  <c r="D159" i="4"/>
  <c r="E159" i="4" s="1"/>
  <c r="E161" i="4" s="1"/>
  <c r="D152" i="4"/>
  <c r="E152" i="4" s="1"/>
  <c r="E154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44" i="4"/>
  <c r="E44" i="4" s="1"/>
  <c r="D47" i="4"/>
  <c r="E47" i="4" s="1"/>
  <c r="D45" i="4"/>
  <c r="E45" i="4" s="1"/>
  <c r="D46" i="4"/>
  <c r="E46" i="4" s="1"/>
  <c r="D43" i="4"/>
  <c r="E43" i="4" s="1"/>
  <c r="D41" i="4"/>
  <c r="E41" i="4" s="1"/>
  <c r="D40" i="4"/>
  <c r="E40" i="4" s="1"/>
  <c r="D37" i="4"/>
  <c r="E37" i="4" s="1"/>
  <c r="E60" i="4" l="1"/>
  <c r="E133" i="4"/>
  <c r="D161" i="4"/>
  <c r="D32" i="4" s="1"/>
  <c r="E32" i="4" s="1"/>
  <c r="D154" i="4"/>
  <c r="D31" i="4" s="1"/>
  <c r="E31" i="4" s="1"/>
  <c r="D146" i="4"/>
  <c r="D30" i="4" s="1"/>
  <c r="D133" i="4"/>
  <c r="D29" i="4" s="1"/>
  <c r="E29" i="4" s="1"/>
  <c r="D119" i="4"/>
  <c r="D28" i="4" s="1"/>
  <c r="D95" i="4"/>
  <c r="D27" i="4" s="1"/>
  <c r="D66" i="4"/>
  <c r="D60" i="4"/>
  <c r="D25" i="4" s="1"/>
  <c r="E25" i="4" s="1"/>
  <c r="D24" i="4"/>
  <c r="E24" i="4" s="1"/>
  <c r="D26" i="4"/>
  <c r="E26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8" i="4" l="1"/>
  <c r="E30" i="4"/>
  <c r="E27" i="4"/>
  <c r="D33" i="4"/>
  <c r="E33" i="4" l="1"/>
  <c r="D34" i="4"/>
  <c r="E34" i="4" l="1"/>
</calcChain>
</file>

<file path=xl/sharedStrings.xml><?xml version="1.0" encoding="utf-8"?>
<sst xmlns="http://schemas.openxmlformats.org/spreadsheetml/2006/main" count="393" uniqueCount="268">
  <si>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</si>
  <si>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</si>
  <si>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</si>
  <si>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</si>
  <si>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</si>
  <si>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</si>
  <si>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</si>
  <si>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</si>
  <si>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</si>
  <si>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</si>
  <si>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</si>
  <si>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</si>
  <si>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</si>
  <si>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</si>
  <si>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</si>
  <si>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</si>
  <si>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</si>
  <si>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</si>
  <si>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</si>
  <si>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</si>
  <si>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</si>
  <si>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</si>
  <si>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</si>
  <si>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</si>
  <si>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</si>
  <si>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</si>
  <si>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</si>
  <si>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</si>
  <si>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</si>
  <si>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</si>
  <si>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</si>
  <si>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</si>
  <si>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</si>
  <si>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</si>
  <si>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</si>
  <si>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</si>
  <si>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</si>
  <si>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</si>
  <si>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</si>
  <si>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</si>
  <si>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</si>
  <si>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</si>
  <si>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</si>
  <si>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</si>
  <si>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</si>
  <si>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</si>
  <si>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</si>
  <si>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</si>
  <si>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</si>
  <si>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</si>
  <si>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</si>
  <si>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</si>
  <si>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</si>
  <si>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</si>
  <si>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</si>
  <si>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</si>
  <si>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</si>
  <si>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</si>
  <si>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</si>
  <si>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</si>
  <si>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</si>
  <si>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</si>
  <si>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</si>
  <si>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</si>
  <si>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</si>
  <si>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</si>
  <si>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</si>
  <si>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</si>
  <si>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</si>
  <si>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</si>
  <si>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</si>
  <si>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</si>
  <si>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</si>
  <si>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</si>
  <si>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</si>
  <si>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</si>
  <si>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</si>
  <si>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</si>
  <si>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</si>
  <si>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</si>
  <si>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</si>
  <si>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</si>
  <si>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</si>
  <si>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</si>
  <si>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</si>
  <si>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</si>
  <si>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</si>
  <si>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</si>
  <si>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</si>
  <si>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</si>
  <si>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</si>
  <si>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</si>
  <si>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</si>
  <si>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</si>
  <si>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</si>
  <si>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</si>
  <si>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</si>
  <si>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</si>
  <si>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</si>
  <si>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</si>
  <si>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</si>
  <si>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</si>
  <si>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</si>
  <si>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</si>
  <si>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</si>
  <si>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</si>
  <si>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</si>
  <si>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</si>
  <si>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</si>
  <si>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</si>
  <si>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</si>
  <si>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</si>
  <si>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</si>
  <si>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</si>
  <si>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</si>
  <si>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</si>
  <si>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</si>
  <si>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</si>
  <si>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</si>
  <si>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</si>
  <si>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</si>
  <si>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</si>
  <si>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</si>
  <si>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</si>
  <si>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</si>
  <si>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</si>
  <si>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</si>
  <si>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</si>
  <si>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</si>
  <si>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</si>
  <si>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</si>
  <si>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</si>
  <si>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</si>
  <si>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</si>
  <si>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</si>
  <si>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</si>
  <si>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</si>
  <si>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</si>
  <si>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</si>
  <si>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</si>
  <si>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</si>
  <si>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</si>
  <si>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</si>
  <si>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</si>
  <si>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</si>
  <si>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</si>
  <si>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</si>
  <si>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</si>
  <si>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</si>
  <si>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</si>
  <si>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</si>
  <si>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</si>
  <si>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</si>
  <si>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</si>
  <si>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</si>
  <si>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</si>
  <si>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</si>
  <si>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</si>
  <si>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</si>
  <si>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</si>
  <si>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</si>
  <si>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</si>
  <si>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</si>
  <si>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</si>
  <si>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</si>
  <si>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</si>
  <si>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</si>
  <si>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</si>
  <si>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</si>
  <si>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</si>
  <si>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</si>
  <si>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</si>
  <si>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</si>
  <si>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</si>
  <si>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</si>
  <si>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</si>
  <si>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</si>
  <si>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</si>
  <si>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</si>
  <si>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</si>
  <si>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</si>
  <si>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</si>
  <si>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</si>
  <si>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</si>
  <si>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</si>
  <si>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</si>
  <si>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</si>
  <si>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</si>
  <si>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</si>
  <si>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</si>
  <si>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</si>
  <si>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</si>
  <si>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</si>
  <si>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</si>
  <si>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</si>
  <si>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</si>
  <si>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</si>
  <si>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</si>
  <si>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</si>
  <si>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</si>
  <si>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</si>
  <si>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</si>
  <si>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</si>
  <si>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</si>
  <si>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</si>
  <si>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</si>
  <si>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</si>
  <si>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</si>
  <si>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</si>
  <si>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</si>
  <si>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</si>
  <si>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</si>
  <si>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</si>
  <si>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</si>
  <si>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</si>
  <si>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</si>
  <si>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</si>
  <si>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</si>
  <si>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</si>
  <si>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</si>
  <si>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</si>
  <si>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</si>
  <si>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</si>
  <si>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</si>
  <si>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</si>
  <si>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</si>
  <si>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</si>
  <si>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</si>
  <si>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</si>
  <si>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</si>
  <si>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</si>
  <si>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</si>
  <si>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</si>
  <si>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</si>
  <si>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</si>
  <si>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</si>
  <si>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</si>
  <si>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</si>
  <si>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</si>
  <si>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</si>
  <si>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</si>
  <si>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</si>
  <si>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</si>
  <si>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</si>
  <si>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</si>
  <si>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</si>
  <si>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</si>
  <si>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</si>
  <si>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00세무서 청사 신축공사</t>
    <phoneticPr fontId="2" type="noConversion"/>
  </si>
  <si>
    <t>업무</t>
  </si>
  <si>
    <t>경상도</t>
  </si>
  <si>
    <t>품질시험비,토및지정공사,정화조공사,철거공사,지정폐기물공사,주요자재비,운반비,작업부산물,미확정공종(P.S)</t>
    <phoneticPr fontId="2" type="noConversion"/>
  </si>
  <si>
    <t>부대토목공사</t>
  </si>
  <si>
    <t>조경공사</t>
  </si>
  <si>
    <t>냉난방공사</t>
    <phoneticPr fontId="2" type="noConversion"/>
  </si>
  <si>
    <t>옥외전력인입공사</t>
    <phoneticPr fontId="2" type="noConversion"/>
  </si>
  <si>
    <t>전기 전기소방</t>
    <phoneticPr fontId="2" type="noConversion"/>
  </si>
  <si>
    <t>TV공청 설비공사</t>
    <phoneticPr fontId="2" type="noConversion"/>
  </si>
  <si>
    <t>정보통신설비공사,CCTV설비공사,이동통신구내선로설비공사,가설공사</t>
    <phoneticPr fontId="2" type="noConversion"/>
  </si>
  <si>
    <t>옥외외등설비공사,태양광설비공사,가설공사</t>
    <phoneticPr fontId="2" type="noConversion"/>
  </si>
  <si>
    <t>동력설비,주방동력설비공사</t>
    <phoneticPr fontId="2" type="noConversion"/>
  </si>
  <si>
    <t>위생배관공사,우수설비공사,주방기구공사</t>
    <phoneticPr fontId="2" type="noConversion"/>
  </si>
  <si>
    <t>환기덕트공사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</si>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</sst>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265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3611</v>
      </c>
      <c r="D7" s="36">
        <f>+C7/3.3058</f>
        <v>1092.3225845483696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199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266</v>
      </c>
    </row>
    <row r="19" spans="1:5" x14ac:dyDescent="0.3">
      <c r="A19" s="2">
        <v>9</v>
      </c>
      <c r="B19" s="2" t="s">
        <v>267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12290</v>
      </c>
      <c r="E24" s="58">
        <f t="shared" ref="E24:E33" si="0">TRUNC(+D24*3.3058,-1)</f>
        <v>40620</v>
      </c>
    </row>
    <row r="25" spans="1:5" x14ac:dyDescent="0.3">
      <c r="B25" s="2">
        <v>2</v>
      </c>
      <c r="C25" s="35" t="s">
        <v>111</v>
      </c>
      <c r="D25" s="45">
        <f>+D60</f>
        <v>820090</v>
      </c>
      <c r="E25" s="59">
        <f t="shared" si="0"/>
        <v>2711050</v>
      </c>
    </row>
    <row r="26" spans="1:5" x14ac:dyDescent="0.3">
      <c r="B26" s="2">
        <v>3</v>
      </c>
      <c r="C26" s="35" t="s">
        <v>95</v>
      </c>
      <c r="D26" s="45">
        <f>+D66</f>
        <v>0</v>
      </c>
      <c r="E26" s="59">
        <f t="shared" si="0"/>
        <v>0</v>
      </c>
    </row>
    <row r="27" spans="1:5" x14ac:dyDescent="0.3">
      <c r="B27" s="2">
        <v>4</v>
      </c>
      <c r="C27" s="35" t="s">
        <v>96</v>
      </c>
      <c r="D27" s="45">
        <f>+D95</f>
        <v>352200</v>
      </c>
      <c r="E27" s="59">
        <f t="shared" si="0"/>
        <v>1164300</v>
      </c>
    </row>
    <row r="28" spans="1:5" x14ac:dyDescent="0.3">
      <c r="B28" s="2">
        <v>5</v>
      </c>
      <c r="C28" s="35" t="s">
        <v>97</v>
      </c>
      <c r="D28" s="45">
        <f>+D119</f>
        <v>227560</v>
      </c>
      <c r="E28" s="59">
        <f t="shared" si="0"/>
        <v>752260</v>
      </c>
    </row>
    <row r="29" spans="1:5" x14ac:dyDescent="0.3">
      <c r="B29" s="2">
        <v>6</v>
      </c>
      <c r="C29" s="35" t="s">
        <v>98</v>
      </c>
      <c r="D29" s="45">
        <f>+D133</f>
        <v>151370</v>
      </c>
      <c r="E29" s="59">
        <f t="shared" si="0"/>
        <v>500390</v>
      </c>
    </row>
    <row r="30" spans="1:5" x14ac:dyDescent="0.3">
      <c r="B30" s="2">
        <v>7</v>
      </c>
      <c r="C30" s="35" t="s">
        <v>99</v>
      </c>
      <c r="D30" s="45">
        <f>+D146</f>
        <v>29030</v>
      </c>
      <c r="E30" s="59">
        <f t="shared" si="0"/>
        <v>95960</v>
      </c>
    </row>
    <row r="31" spans="1:5" x14ac:dyDescent="0.3">
      <c r="B31" s="2">
        <v>8</v>
      </c>
      <c r="C31" s="35" t="s">
        <v>100</v>
      </c>
      <c r="D31" s="45">
        <f>+D154</f>
        <v>138560</v>
      </c>
      <c r="E31" s="59">
        <f t="shared" si="0"/>
        <v>458050</v>
      </c>
    </row>
    <row r="32" spans="1:5" x14ac:dyDescent="0.3">
      <c r="B32" s="2">
        <v>9</v>
      </c>
      <c r="C32" s="35" t="s">
        <v>101</v>
      </c>
      <c r="D32" s="45">
        <f>+D161</f>
        <v>57510</v>
      </c>
      <c r="E32" s="59">
        <f t="shared" si="0"/>
        <v>190110</v>
      </c>
    </row>
    <row r="33" spans="1:7" x14ac:dyDescent="0.3">
      <c r="B33" s="2">
        <v>10</v>
      </c>
      <c r="C33" s="35" t="s">
        <v>154</v>
      </c>
      <c r="D33" s="53">
        <f>TRUNC(SUM(D24:D32)*0.275,-1)</f>
        <v>491860</v>
      </c>
      <c r="E33" s="60">
        <f t="shared" si="0"/>
        <v>1625990</v>
      </c>
    </row>
    <row r="34" spans="1:7" x14ac:dyDescent="0.3">
      <c r="C34" s="35" t="s">
        <v>112</v>
      </c>
      <c r="D34" s="44">
        <f>SUM(D24:D33)</f>
        <v>2280470</v>
      </c>
      <c r="E34" s="44">
        <f>SUM(E24:E33)</f>
        <v>7538730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f>TRUNC(12292,-1)</f>
        <v>12290</v>
      </c>
      <c r="E37" s="61">
        <f>TRUNC(+D37*3.3058,-1)</f>
        <v>40620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263</v>
      </c>
      <c r="E39" s="67" t="s">
        <v>264</v>
      </c>
      <c r="G39" s="68"/>
    </row>
    <row r="40" spans="1:7" x14ac:dyDescent="0.3">
      <c r="A40" s="2">
        <v>1</v>
      </c>
      <c r="C40" s="38" t="s">
        <v>15</v>
      </c>
      <c r="D40" s="40">
        <f>TRUNC(36439,-1)</f>
        <v>36430</v>
      </c>
      <c r="E40" s="62">
        <f t="shared" ref="E40:E59" si="1">TRUNC(+D40*3.3058,-1)</f>
        <v>120430</v>
      </c>
    </row>
    <row r="41" spans="1:7" x14ac:dyDescent="0.3">
      <c r="A41" s="2">
        <v>2</v>
      </c>
      <c r="C41" s="38" t="s">
        <v>13</v>
      </c>
      <c r="D41" s="42">
        <f>TRUNC(116135,-1)</f>
        <v>116130</v>
      </c>
      <c r="E41" s="63">
        <f t="shared" si="1"/>
        <v>383900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f>TRUNC(18146,-1)</f>
        <v>18140</v>
      </c>
      <c r="E43" s="63">
        <f t="shared" si="1"/>
        <v>59960</v>
      </c>
    </row>
    <row r="44" spans="1:7" x14ac:dyDescent="0.3">
      <c r="A44" s="2">
        <v>5</v>
      </c>
      <c r="C44" s="38" t="s">
        <v>17</v>
      </c>
      <c r="D44" s="42">
        <f>TRUNC(21029,-1)</f>
        <v>21020</v>
      </c>
      <c r="E44" s="63">
        <f t="shared" si="1"/>
        <v>69480</v>
      </c>
    </row>
    <row r="45" spans="1:7" x14ac:dyDescent="0.3">
      <c r="A45" s="2">
        <v>6</v>
      </c>
      <c r="C45" s="38" t="s">
        <v>18</v>
      </c>
      <c r="D45" s="42">
        <f>TRUNC(7646,-1)</f>
        <v>7640</v>
      </c>
      <c r="E45" s="63">
        <f t="shared" si="1"/>
        <v>25250</v>
      </c>
    </row>
    <row r="46" spans="1:7" x14ac:dyDescent="0.3">
      <c r="A46" s="2">
        <v>7</v>
      </c>
      <c r="C46" s="38" t="s">
        <v>19</v>
      </c>
      <c r="D46" s="42">
        <f>TRUNC(69131,-1)</f>
        <v>69130</v>
      </c>
      <c r="E46" s="63">
        <f t="shared" si="1"/>
        <v>228520</v>
      </c>
    </row>
    <row r="47" spans="1:7" x14ac:dyDescent="0.3">
      <c r="A47" s="2">
        <v>8</v>
      </c>
      <c r="C47" s="38" t="s">
        <v>20</v>
      </c>
      <c r="D47" s="42">
        <f>TRUNC(9356,-1)</f>
        <v>9350</v>
      </c>
      <c r="E47" s="63">
        <f t="shared" si="1"/>
        <v>30900</v>
      </c>
    </row>
    <row r="48" spans="1:7" x14ac:dyDescent="0.3">
      <c r="A48" s="2">
        <v>9</v>
      </c>
      <c r="C48" s="38" t="s">
        <v>21</v>
      </c>
      <c r="D48" s="42">
        <f>TRUNC(43693,-1)</f>
        <v>43690</v>
      </c>
      <c r="E48" s="63">
        <f t="shared" si="1"/>
        <v>144430</v>
      </c>
    </row>
    <row r="49" spans="1:7" x14ac:dyDescent="0.3">
      <c r="A49" s="2">
        <v>10</v>
      </c>
      <c r="C49" s="38" t="s">
        <v>22</v>
      </c>
      <c r="D49" s="42">
        <f>TRUNC(30458,-1)</f>
        <v>30450</v>
      </c>
      <c r="E49" s="63">
        <f t="shared" si="1"/>
        <v>100660</v>
      </c>
    </row>
    <row r="50" spans="1:7" x14ac:dyDescent="0.3">
      <c r="A50" s="2">
        <v>11</v>
      </c>
      <c r="C50" s="38" t="s">
        <v>155</v>
      </c>
      <c r="D50" s="42">
        <f>TRUNC(26550,-1)</f>
        <v>26550</v>
      </c>
      <c r="E50" s="63">
        <f t="shared" si="1"/>
        <v>87760</v>
      </c>
    </row>
    <row r="51" spans="1:7" x14ac:dyDescent="0.3">
      <c r="A51" s="2">
        <v>12</v>
      </c>
      <c r="C51" s="38" t="s">
        <v>23</v>
      </c>
      <c r="D51" s="42">
        <f>TRUNC(14065,-1)</f>
        <v>14060</v>
      </c>
      <c r="E51" s="63">
        <f t="shared" si="1"/>
        <v>46470</v>
      </c>
    </row>
    <row r="52" spans="1:7" x14ac:dyDescent="0.3">
      <c r="A52" s="2">
        <v>13</v>
      </c>
      <c r="C52" s="38" t="s">
        <v>24</v>
      </c>
      <c r="D52" s="42">
        <f>TRUNC(9967,-1)</f>
        <v>9960</v>
      </c>
      <c r="E52" s="63">
        <f t="shared" si="1"/>
        <v>32920</v>
      </c>
    </row>
    <row r="53" spans="1:7" x14ac:dyDescent="0.3">
      <c r="A53" s="2">
        <v>14</v>
      </c>
      <c r="C53" s="38" t="s">
        <v>25</v>
      </c>
      <c r="D53" s="42">
        <f>TRUNC(68908,-1)</f>
        <v>68900</v>
      </c>
      <c r="E53" s="63">
        <f t="shared" si="1"/>
        <v>227760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TRUNC(2587+13190+4438+28036+4385+2642+3049-1603+14121,-1)</f>
        <v>70840</v>
      </c>
      <c r="E58" s="63">
        <f t="shared" si="1"/>
        <v>234180</v>
      </c>
      <c r="F58" s="2" t="s">
        <v>251</v>
      </c>
    </row>
    <row r="59" spans="1:7" ht="17.25" thickBot="1" x14ac:dyDescent="0.35">
      <c r="A59" s="2">
        <v>20</v>
      </c>
      <c r="C59" s="38" t="s">
        <v>148</v>
      </c>
      <c r="D59" s="43">
        <f>TRUNC(277804,-1)</f>
        <v>277800</v>
      </c>
      <c r="E59" s="64">
        <f t="shared" si="1"/>
        <v>918350</v>
      </c>
    </row>
    <row r="60" spans="1:7" x14ac:dyDescent="0.3">
      <c r="A60" s="2">
        <v>21</v>
      </c>
      <c r="C60" s="27" t="s">
        <v>112</v>
      </c>
      <c r="D60" s="39">
        <f>SUM(D40:D59)</f>
        <v>820090</v>
      </c>
      <c r="E60" s="39">
        <f>SUM(E40:E59)</f>
        <v>2710970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v>0</v>
      </c>
      <c r="E63" s="62">
        <f>TRUNC(+D63*3.3058,-1)</f>
        <v>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0</v>
      </c>
      <c r="E66" s="65">
        <f>SUM(E63:E65)</f>
        <v>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TRUNC(18571,-1)</f>
        <v>18570</v>
      </c>
      <c r="E69" s="62">
        <f t="shared" ref="E69:E94" si="2">TRUNC(+D69*3.3058,-1)</f>
        <v>61380</v>
      </c>
    </row>
    <row r="70" spans="1:7" ht="16.5" customHeight="1" x14ac:dyDescent="0.3">
      <c r="A70" s="2">
        <v>2</v>
      </c>
      <c r="C70" s="38" t="s">
        <v>31</v>
      </c>
      <c r="D70" s="42">
        <f>TRUNC(1304,-1)</f>
        <v>1300</v>
      </c>
      <c r="E70" s="63">
        <f t="shared" si="2"/>
        <v>4290</v>
      </c>
    </row>
    <row r="71" spans="1:7" x14ac:dyDescent="0.3">
      <c r="A71" s="2">
        <v>3</v>
      </c>
      <c r="C71" s="38" t="s">
        <v>32</v>
      </c>
      <c r="D71" s="42">
        <f>TRUNC(8000,-1)</f>
        <v>8000</v>
      </c>
      <c r="E71" s="63">
        <f t="shared" si="2"/>
        <v>26440</v>
      </c>
    </row>
    <row r="72" spans="1:7" x14ac:dyDescent="0.3">
      <c r="A72" s="2">
        <v>4</v>
      </c>
      <c r="C72" s="38" t="s">
        <v>33</v>
      </c>
      <c r="D72" s="42">
        <f>TRUNC(7624,-1)</f>
        <v>7620</v>
      </c>
      <c r="E72" s="63">
        <f t="shared" si="2"/>
        <v>25190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f>TRUNC(6521,-1)</f>
        <v>6520</v>
      </c>
      <c r="E79" s="63">
        <f t="shared" si="2"/>
        <v>21550</v>
      </c>
      <c r="F79" s="2" t="s">
        <v>262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f>TRUNC(7329,-1)</f>
        <v>7320</v>
      </c>
      <c r="E81" s="63">
        <f t="shared" si="2"/>
        <v>24190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f>TRUNC(210835,-1)</f>
        <v>210830</v>
      </c>
      <c r="E84" s="63">
        <f t="shared" si="2"/>
        <v>696960</v>
      </c>
      <c r="F84" s="2" t="s">
        <v>254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2"/>
        <v>0</v>
      </c>
    </row>
    <row r="90" spans="1:7" x14ac:dyDescent="0.3">
      <c r="A90" s="2">
        <v>22</v>
      </c>
      <c r="C90" s="38" t="s">
        <v>36</v>
      </c>
      <c r="D90" s="42">
        <f>TRUNC(6164,-1)</f>
        <v>6160</v>
      </c>
      <c r="E90" s="63">
        <f t="shared" si="2"/>
        <v>20360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 t="shared" si="2"/>
        <v>0</v>
      </c>
    </row>
    <row r="92" spans="1:7" x14ac:dyDescent="0.3">
      <c r="A92" s="2">
        <v>24</v>
      </c>
      <c r="C92" s="38" t="s">
        <v>38</v>
      </c>
      <c r="D92" s="42">
        <v>0</v>
      </c>
      <c r="E92" s="63">
        <f t="shared" si="2"/>
        <v>0</v>
      </c>
    </row>
    <row r="93" spans="1:7" x14ac:dyDescent="0.3">
      <c r="A93" s="2">
        <v>25</v>
      </c>
      <c r="C93" s="38" t="s">
        <v>148</v>
      </c>
      <c r="D93" s="42">
        <f>TRUNC(35132,-1)</f>
        <v>35130</v>
      </c>
      <c r="E93" s="63">
        <f t="shared" si="2"/>
        <v>116130</v>
      </c>
    </row>
    <row r="94" spans="1:7" ht="17.25" thickBot="1" x14ac:dyDescent="0.35">
      <c r="A94" s="2">
        <v>26</v>
      </c>
      <c r="C94" s="38" t="s">
        <v>47</v>
      </c>
      <c r="D94" s="43">
        <f>TRUNC(33852+10835+6063,-1)</f>
        <v>50750</v>
      </c>
      <c r="E94" s="64">
        <f t="shared" si="2"/>
        <v>167760</v>
      </c>
      <c r="F94" s="2" t="s">
        <v>261</v>
      </c>
    </row>
    <row r="95" spans="1:7" x14ac:dyDescent="0.3">
      <c r="A95" s="2">
        <v>27</v>
      </c>
      <c r="C95" s="27" t="s">
        <v>112</v>
      </c>
      <c r="D95" s="39">
        <f>SUM(D69:D94)</f>
        <v>352200</v>
      </c>
      <c r="E95" s="39">
        <f>SUM(E69:E94)</f>
        <v>1164250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TRUNC(7271,-1)</f>
        <v>7270</v>
      </c>
      <c r="E98" s="62">
        <f t="shared" ref="E98:E118" si="3">TRUNC(+D98*3.3058,-1)</f>
        <v>24030</v>
      </c>
    </row>
    <row r="99" spans="1:7" x14ac:dyDescent="0.3">
      <c r="A99" s="2">
        <v>2</v>
      </c>
      <c r="C99" s="38" t="s">
        <v>40</v>
      </c>
      <c r="D99" s="42">
        <f>TRUNC(3448+364,-1)</f>
        <v>3810</v>
      </c>
      <c r="E99" s="63">
        <f t="shared" si="3"/>
        <v>12590</v>
      </c>
      <c r="F99" s="2" t="s">
        <v>260</v>
      </c>
    </row>
    <row r="100" spans="1:7" x14ac:dyDescent="0.3">
      <c r="A100" s="2">
        <v>3</v>
      </c>
      <c r="C100" s="38" t="s">
        <v>41</v>
      </c>
      <c r="D100" s="42">
        <f>TRUNC(25159,-1)</f>
        <v>25150</v>
      </c>
      <c r="E100" s="63">
        <f t="shared" si="3"/>
        <v>83140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TRUNC(18372,-1)</f>
        <v>18370</v>
      </c>
      <c r="E102" s="63">
        <f t="shared" si="3"/>
        <v>60720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TRUNC(4124,-1)</f>
        <v>4120</v>
      </c>
      <c r="E104" s="63">
        <f t="shared" si="3"/>
        <v>13610</v>
      </c>
    </row>
    <row r="105" spans="1:7" x14ac:dyDescent="0.3">
      <c r="A105" s="2">
        <v>8</v>
      </c>
      <c r="C105" s="38" t="s">
        <v>46</v>
      </c>
      <c r="D105" s="42">
        <f>TRUNC(2463,-1)</f>
        <v>2460</v>
      </c>
      <c r="E105" s="63">
        <f t="shared" si="3"/>
        <v>8130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f>TRUNC(4321,-1)</f>
        <v>4320</v>
      </c>
      <c r="E108" s="63">
        <f t="shared" si="3"/>
        <v>14280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f>TRUNC(10896,-1)</f>
        <v>10890</v>
      </c>
      <c r="E115" s="63">
        <f t="shared" si="3"/>
        <v>36000</v>
      </c>
    </row>
    <row r="116" spans="1:7" x14ac:dyDescent="0.3">
      <c r="A116" s="2">
        <v>19</v>
      </c>
      <c r="C116" s="38" t="s">
        <v>115</v>
      </c>
      <c r="D116" s="42">
        <f>TRUNC(4242,-1)</f>
        <v>4240</v>
      </c>
      <c r="E116" s="63">
        <f t="shared" si="3"/>
        <v>14010</v>
      </c>
      <c r="F116" s="2" t="s">
        <v>255</v>
      </c>
    </row>
    <row r="117" spans="1:7" x14ac:dyDescent="0.3">
      <c r="A117" s="2">
        <v>20</v>
      </c>
      <c r="C117" s="38" t="s">
        <v>148</v>
      </c>
      <c r="D117" s="42">
        <f>TRUNC(136656,-1)</f>
        <v>136650</v>
      </c>
      <c r="E117" s="63">
        <f t="shared" si="3"/>
        <v>451730</v>
      </c>
    </row>
    <row r="118" spans="1:7" ht="17.25" thickBot="1" x14ac:dyDescent="0.35">
      <c r="A118" s="2">
        <v>21</v>
      </c>
      <c r="C118" s="38" t="s">
        <v>47</v>
      </c>
      <c r="D118" s="43">
        <f>TRUNC(9239+592+456,-1)</f>
        <v>10280</v>
      </c>
      <c r="E118" s="64">
        <f t="shared" si="3"/>
        <v>33980</v>
      </c>
      <c r="F118" s="2" t="s">
        <v>259</v>
      </c>
    </row>
    <row r="119" spans="1:7" x14ac:dyDescent="0.3">
      <c r="A119" s="2">
        <v>22</v>
      </c>
      <c r="C119" s="27" t="s">
        <v>112</v>
      </c>
      <c r="D119" s="39">
        <f>SUM(D98:D118)</f>
        <v>227560</v>
      </c>
      <c r="E119" s="39">
        <f>SUM(E98:E118)</f>
        <v>752220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TRUNC(4182,-1)</f>
        <v>4180</v>
      </c>
      <c r="E122" s="62">
        <f t="shared" ref="E122:E132" si="4">TRUNC(+D122*3.3058,-1)</f>
        <v>13810</v>
      </c>
      <c r="F122" s="2" t="s">
        <v>257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TRUNC(1418,-1)</f>
        <v>1410</v>
      </c>
      <c r="E124" s="63">
        <f t="shared" si="4"/>
        <v>4660</v>
      </c>
    </row>
    <row r="125" spans="1:7" x14ac:dyDescent="0.3">
      <c r="A125" s="2">
        <v>4</v>
      </c>
      <c r="C125" s="38" t="s">
        <v>138</v>
      </c>
      <c r="D125" s="42">
        <f>TRUNC(9113,-1)</f>
        <v>9110</v>
      </c>
      <c r="E125" s="63">
        <f t="shared" si="4"/>
        <v>30110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TRUNC(5803,-1)</f>
        <v>5800</v>
      </c>
      <c r="E128" s="63">
        <f t="shared" si="4"/>
        <v>19170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v>0</v>
      </c>
      <c r="E130" s="63">
        <f t="shared" si="4"/>
        <v>0</v>
      </c>
    </row>
    <row r="131" spans="1:7" x14ac:dyDescent="0.3">
      <c r="A131" s="2">
        <v>10</v>
      </c>
      <c r="C131" s="38" t="s">
        <v>148</v>
      </c>
      <c r="D131" s="42">
        <f>TRUNC(75236,-1)</f>
        <v>75230</v>
      </c>
      <c r="E131" s="63">
        <f t="shared" si="4"/>
        <v>248690</v>
      </c>
    </row>
    <row r="132" spans="1:7" ht="18" thickBot="1" x14ac:dyDescent="0.35">
      <c r="A132" s="2">
        <v>11</v>
      </c>
      <c r="C132" s="38" t="s">
        <v>47</v>
      </c>
      <c r="D132" s="43">
        <f>TRUNC(43344+10799+1042+456,-1)</f>
        <v>55640</v>
      </c>
      <c r="E132" s="64">
        <f t="shared" si="4"/>
        <v>183930</v>
      </c>
      <c r="F132" s="54" t="s">
        <v>258</v>
      </c>
    </row>
    <row r="133" spans="1:7" x14ac:dyDescent="0.3">
      <c r="A133" s="2">
        <v>12</v>
      </c>
      <c r="C133" s="27" t="s">
        <v>112</v>
      </c>
      <c r="D133" s="39">
        <f>SUM(D122:D132)</f>
        <v>151370</v>
      </c>
      <c r="E133" s="39">
        <f>SUM(E122:E132)</f>
        <v>500370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f>TRUNC(10129,-1)</f>
        <v>10120</v>
      </c>
      <c r="E136" s="62">
        <f t="shared" ref="E136:E145" si="5">TRUNC(+D136*3.3058,-1)</f>
        <v>33450</v>
      </c>
    </row>
    <row r="137" spans="1:7" x14ac:dyDescent="0.3">
      <c r="A137" s="2">
        <v>2</v>
      </c>
      <c r="C137" s="38" t="s">
        <v>47</v>
      </c>
      <c r="D137" s="42">
        <f>TRUNC(18917,-1)</f>
        <v>18910</v>
      </c>
      <c r="E137" s="63">
        <f t="shared" si="5"/>
        <v>62510</v>
      </c>
      <c r="F137" s="2" t="s">
        <v>256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5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5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5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29030</v>
      </c>
      <c r="E146" s="39">
        <f>SUM(E136:E145)</f>
        <v>95960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TRUNC(138565,-1)</f>
        <v>138560</v>
      </c>
      <c r="E152" s="63">
        <f>TRUNC(+D152*3.3058,-1)</f>
        <v>458050</v>
      </c>
      <c r="F152" s="2" t="s">
        <v>252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138560</v>
      </c>
      <c r="E154" s="39">
        <f>SUM(E149:E153)</f>
        <v>458050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f>TRUNC(57511,-1)</f>
        <v>57510</v>
      </c>
      <c r="E159" s="63">
        <f>TRUNC(+D159*3.3058,-1)</f>
        <v>190110</v>
      </c>
      <c r="F159" s="2" t="s">
        <v>253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57510</v>
      </c>
      <c r="E161" s="39">
        <f>SUM(E157:E160)</f>
        <v>190110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2020-12-07T09:37:39Z</dcterms:modified>
</cp:coreProperties>
</file>