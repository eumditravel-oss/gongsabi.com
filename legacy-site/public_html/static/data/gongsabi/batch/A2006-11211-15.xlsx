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49" i="4"/>
  <c r="E145" i="4"/>
  <c r="E144" i="4"/>
  <c r="E143" i="4"/>
  <c r="E142" i="4"/>
  <c r="E141" i="4"/>
  <c r="E140" i="4"/>
  <c r="E139" i="4"/>
  <c r="E138" i="4"/>
  <c r="E130" i="4"/>
  <c r="E129" i="4"/>
  <c r="E128" i="4"/>
  <c r="E127" i="4"/>
  <c r="E126" i="4"/>
  <c r="E124" i="4"/>
  <c r="E118" i="4"/>
  <c r="E116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1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5" i="4"/>
  <c r="E74" i="4"/>
  <c r="E73" i="4"/>
  <c r="E72" i="4"/>
  <c r="E71" i="4"/>
  <c r="E65" i="4"/>
  <c r="E64" i="4"/>
  <c r="E57" i="4"/>
  <c r="E56" i="4"/>
  <c r="E54" i="4"/>
  <c r="D93" i="4" l="1"/>
  <c r="E93" i="4" s="1"/>
  <c r="D159" i="4" l="1"/>
  <c r="E159" i="4" s="1"/>
  <c r="E161" i="4" s="1"/>
  <c r="D152" i="4"/>
  <c r="E152" i="4" s="1"/>
  <c r="D151" i="4"/>
  <c r="E151" i="4" s="1"/>
  <c r="D150" i="4"/>
  <c r="E150" i="4" s="1"/>
  <c r="E154" i="4" s="1"/>
  <c r="D137" i="4"/>
  <c r="E137" i="4" s="1"/>
  <c r="D136" i="4"/>
  <c r="E136" i="4" s="1"/>
  <c r="D132" i="4"/>
  <c r="E132" i="4" s="1"/>
  <c r="D131" i="4"/>
  <c r="E131" i="4" s="1"/>
  <c r="D125" i="4"/>
  <c r="E125" i="4" s="1"/>
  <c r="E133" i="4" s="1"/>
  <c r="D123" i="4"/>
  <c r="E123" i="4" s="1"/>
  <c r="D122" i="4"/>
  <c r="E122" i="4" s="1"/>
  <c r="D117" i="4"/>
  <c r="E117" i="4" s="1"/>
  <c r="D115" i="4"/>
  <c r="E115" i="4" s="1"/>
  <c r="D102" i="4"/>
  <c r="E102" i="4" s="1"/>
  <c r="D100" i="4"/>
  <c r="E100" i="4" s="1"/>
  <c r="D99" i="4"/>
  <c r="E99" i="4" s="1"/>
  <c r="D98" i="4"/>
  <c r="E98" i="4" s="1"/>
  <c r="D94" i="4"/>
  <c r="E94" i="4" s="1"/>
  <c r="D92" i="4"/>
  <c r="E92" i="4" s="1"/>
  <c r="D78" i="4"/>
  <c r="E78" i="4" s="1"/>
  <c r="D70" i="4"/>
  <c r="E70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E119" i="4" l="1"/>
  <c r="E60" i="4"/>
  <c r="E95" i="4"/>
  <c r="E146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<sst xmlns="http://schemas.openxmlformats.org/spreadsheetml/2006/main" count="395" uniqueCount="268">
  <si>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</si>
  <si>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</si>
  <si>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</si>
  <si>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</si>
  <si>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</si>
  <si>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</si>
  <si>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</si>
  <si>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</si>
  <si>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</si>
  <si>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</si>
  <si>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</si>
  <si>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</si>
  <si>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</si>
  <si>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</si>
  <si>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</si>
  <si>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</si>
  <si>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</si>
  <si>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</si>
  <si>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</si>
  <si>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</si>
  <si>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</si>
  <si>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</si>
  <si>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</si>
  <si>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</si>
  <si>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</si>
  <si>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</si>
  <si>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</si>
  <si>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</si>
  <si>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</si>
  <si>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</si>
  <si>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</si>
  <si>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</si>
  <si>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</si>
  <si>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</si>
  <si>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</si>
  <si>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</si>
  <si>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</si>
  <si>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</si>
  <si>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</si>
  <si>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</si>
  <si>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</si>
  <si>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</si>
  <si>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</si>
  <si>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</si>
  <si>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</si>
  <si>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</si>
  <si>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</si>
  <si>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</si>
  <si>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</si>
  <si>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</si>
  <si>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</si>
  <si>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</si>
  <si>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</si>
  <si>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</si>
  <si>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</si>
  <si>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</si>
  <si>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</si>
  <si>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</si>
  <si>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</si>
  <si>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</si>
  <si>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</si>
  <si>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</si>
  <si>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</si>
  <si>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</si>
  <si>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</si>
  <si>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</si>
  <si>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</si>
  <si>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</si>
  <si>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</si>
  <si>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</si>
  <si>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</si>
  <si>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</si>
  <si>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</si>
  <si>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</si>
  <si>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</si>
  <si>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</si>
  <si>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</si>
  <si>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</si>
  <si>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</si>
  <si>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</si>
  <si>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</si>
  <si>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</si>
  <si>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</si>
  <si>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</si>
  <si>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</si>
  <si>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</si>
  <si>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</si>
  <si>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</si>
  <si>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</si>
  <si>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</si>
  <si>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</si>
  <si>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</si>
  <si>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</si>
  <si>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</si>
  <si>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</si>
  <si>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</si>
  <si>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</si>
  <si>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</si>
  <si>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</si>
  <si>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</si>
  <si>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</si>
  <si>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</si>
  <si>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</si>
  <si>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</si>
  <si>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</si>
  <si>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</si>
  <si>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</si>
  <si>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</si>
  <si>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</si>
  <si>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</si>
  <si>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</si>
  <si>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</si>
  <si>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</si>
  <si>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</si>
  <si>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</si>
  <si>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</si>
  <si>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</si>
  <si>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</si>
  <si>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</si>
  <si>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</si>
  <si>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</si>
  <si>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</si>
  <si>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</si>
  <si>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</si>
  <si>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</si>
  <si>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</si>
  <si>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</si>
  <si>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</si>
  <si>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</si>
  <si>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</si>
  <si>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</si>
  <si>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</si>
  <si>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</si>
  <si>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</si>
  <si>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</si>
  <si>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</si>
  <si>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</si>
  <si>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</si>
  <si>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</si>
  <si>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</si>
  <si>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</si>
  <si>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</si>
  <si>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</si>
  <si>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</si>
  <si>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</si>
  <si>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</si>
  <si>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</si>
  <si>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</si>
  <si>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</si>
  <si>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</si>
  <si>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</si>
  <si>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</si>
  <si>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</si>
  <si>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</si>
  <si>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</si>
  <si>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</si>
  <si>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</si>
  <si>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</si>
  <si>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</si>
  <si>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</si>
  <si>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</si>
  <si>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</si>
  <si>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</si>
  <si>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</si>
  <si>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</si>
  <si>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</si>
  <si>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</si>
  <si>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</si>
  <si>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</si>
  <si>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</si>
  <si>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</si>
  <si>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</si>
  <si>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</si>
  <si>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</si>
  <si>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</si>
  <si>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</si>
  <si>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</si>
  <si>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</si>
  <si>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</si>
  <si>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</si>
  <si>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</si>
  <si>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</si>
  <si>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</si>
  <si>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</si>
  <si>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</si>
  <si>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</si>
  <si>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</si>
  <si>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</si>
  <si>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</si>
  <si>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</si>
  <si>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</si>
  <si>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</si>
  <si>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</si>
  <si>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</si>
  <si>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</si>
  <si>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</si>
  <si>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</si>
  <si>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</si>
  <si>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</si>
  <si>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</si>
  <si>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</si>
  <si>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</si>
  <si>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</si>
  <si>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</si>
  <si>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</si>
  <si>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</si>
  <si>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</si>
  <si>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</si>
  <si>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</si>
  <si>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</si>
  <si>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</si>
  <si>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</si>
  <si>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</si>
  <si>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</si>
  <si>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</si>
  <si>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</si>
  <si>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</si>
  <si>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</si>
  <si>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</si>
  <si>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</si>
  <si>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</si>
  <si>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</si>
  <si>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</si>
  <si>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</si>
  <si>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</si>
  <si>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</si>
  <si>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</si>
  <si>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</si>
  <si>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</si>
  <si>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</si>
  <si>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</si>
  <si>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</si>
  <si>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</si>
  <si>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</si>
  <si>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</si>
  <si>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</si>
  <si>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</si>
  <si>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</si>
  <si>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</si>
  <si>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</si>
  <si>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</si>
  <si>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</si>
  <si>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</si>
  <si>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</si>
  <si>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</si>
  <si>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</si>
  <si>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</si>
  <si>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</si>
  <si>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</si>
  <si>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00도서관 건립공사</t>
  </si>
  <si>
    <t>충청도</t>
  </si>
  <si>
    <t>토및지정공사,창호하드웨어공사,기타공사,골재비및운반비,철거공사</t>
    <phoneticPr fontId="2" type="noConversion"/>
  </si>
  <si>
    <t>토목 관로공, 부대시설공, 부대공, 사급자재대</t>
    <phoneticPr fontId="2" type="noConversion"/>
  </si>
  <si>
    <t>조경공사</t>
    <phoneticPr fontId="2" type="noConversion"/>
  </si>
  <si>
    <t>공조닥트,배관공사</t>
    <phoneticPr fontId="2" type="noConversion"/>
  </si>
  <si>
    <t>위생기구,배관공사</t>
    <phoneticPr fontId="2" type="noConversion"/>
  </si>
  <si>
    <t>기계실공사,기타공사</t>
    <phoneticPr fontId="2" type="noConversion"/>
  </si>
  <si>
    <t>변전설비공사</t>
  </si>
  <si>
    <t>전기소방</t>
    <phoneticPr fontId="2" type="noConversion"/>
  </si>
  <si>
    <t>TV공청설비공사</t>
    <phoneticPr fontId="2" type="noConversion"/>
  </si>
  <si>
    <t>CCTV설치공사</t>
  </si>
  <si>
    <t>도급자설치</t>
    <phoneticPr fontId="2" type="noConversion"/>
  </si>
  <si>
    <t>관급자설치 관급자재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</si>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</sst>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4457</v>
      </c>
      <c r="D7" s="36">
        <f>+C7/3.3058</f>
        <v>1348.2364329360519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2850</v>
      </c>
      <c r="E24" s="58">
        <f t="shared" ref="E24:E33" si="0">TRUNC(+D24*3.3058,-1)</f>
        <v>9420</v>
      </c>
    </row>
    <row r="25" spans="1:5" x14ac:dyDescent="0.3">
      <c r="B25" s="2">
        <v>2</v>
      </c>
      <c r="C25" s="35" t="s">
        <v>111</v>
      </c>
      <c r="D25" s="45">
        <f>+D60</f>
        <v>652250</v>
      </c>
      <c r="E25" s="59">
        <f t="shared" si="0"/>
        <v>2156200</v>
      </c>
    </row>
    <row r="26" spans="1:5" x14ac:dyDescent="0.3">
      <c r="B26" s="2">
        <v>3</v>
      </c>
      <c r="C26" s="35" t="s">
        <v>95</v>
      </c>
      <c r="D26" s="45">
        <f>+D66</f>
        <v>91420</v>
      </c>
      <c r="E26" s="59">
        <f t="shared" si="0"/>
        <v>302210</v>
      </c>
    </row>
    <row r="27" spans="1:5" x14ac:dyDescent="0.3">
      <c r="B27" s="2">
        <v>4</v>
      </c>
      <c r="C27" s="35" t="s">
        <v>96</v>
      </c>
      <c r="D27" s="45">
        <f>+D95</f>
        <v>361590</v>
      </c>
      <c r="E27" s="59">
        <f t="shared" si="0"/>
        <v>1195340</v>
      </c>
    </row>
    <row r="28" spans="1:5" x14ac:dyDescent="0.3">
      <c r="B28" s="2">
        <v>5</v>
      </c>
      <c r="C28" s="35" t="s">
        <v>97</v>
      </c>
      <c r="D28" s="45">
        <f>+D119</f>
        <v>124320</v>
      </c>
      <c r="E28" s="59">
        <f t="shared" si="0"/>
        <v>410970</v>
      </c>
    </row>
    <row r="29" spans="1:5" x14ac:dyDescent="0.3">
      <c r="B29" s="2">
        <v>6</v>
      </c>
      <c r="C29" s="35" t="s">
        <v>98</v>
      </c>
      <c r="D29" s="45">
        <f>+D133</f>
        <v>47990</v>
      </c>
      <c r="E29" s="59">
        <f t="shared" si="0"/>
        <v>158640</v>
      </c>
    </row>
    <row r="30" spans="1:5" x14ac:dyDescent="0.3">
      <c r="B30" s="2">
        <v>7</v>
      </c>
      <c r="C30" s="35" t="s">
        <v>99</v>
      </c>
      <c r="D30" s="45">
        <f>+D146</f>
        <v>31300</v>
      </c>
      <c r="E30" s="59">
        <f t="shared" si="0"/>
        <v>103470</v>
      </c>
    </row>
    <row r="31" spans="1:5" x14ac:dyDescent="0.3">
      <c r="B31" s="2">
        <v>8</v>
      </c>
      <c r="C31" s="35" t="s">
        <v>100</v>
      </c>
      <c r="D31" s="45">
        <f>+D154</f>
        <v>27680</v>
      </c>
      <c r="E31" s="59">
        <f t="shared" si="0"/>
        <v>91500</v>
      </c>
    </row>
    <row r="32" spans="1:5" x14ac:dyDescent="0.3">
      <c r="B32" s="2">
        <v>9</v>
      </c>
      <c r="C32" s="35" t="s">
        <v>101</v>
      </c>
      <c r="D32" s="45">
        <f>+D161</f>
        <v>23290</v>
      </c>
      <c r="E32" s="59">
        <f t="shared" si="0"/>
        <v>76990</v>
      </c>
    </row>
    <row r="33" spans="1:7" x14ac:dyDescent="0.3">
      <c r="B33" s="2">
        <v>10</v>
      </c>
      <c r="C33" s="35" t="s">
        <v>153</v>
      </c>
      <c r="D33" s="53">
        <f>TRUNC(SUM(D24:D32)*0.275,-1)</f>
        <v>374730</v>
      </c>
      <c r="E33" s="60">
        <f t="shared" si="0"/>
        <v>1238780</v>
      </c>
    </row>
    <row r="34" spans="1:7" x14ac:dyDescent="0.3">
      <c r="C34" s="35" t="s">
        <v>112</v>
      </c>
      <c r="D34" s="44">
        <f>SUM(D24:D33)</f>
        <v>1737420</v>
      </c>
      <c r="E34" s="44">
        <f>SUM(E24:E33)</f>
        <v>5743520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f>TRUNC(2857.4420013462,-1)</f>
        <v>2850</v>
      </c>
      <c r="E37" s="61">
        <f>TRUNC(+D37*3.3058,-1)</f>
        <v>9420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TRUNC(45406.0984967467,-1)</f>
        <v>45400</v>
      </c>
      <c r="E40" s="62">
        <f t="shared" ref="E40:E59" si="1">TRUNC(+D40*3.3058,-1)</f>
        <v>150080</v>
      </c>
    </row>
    <row r="41" spans="1:7" x14ac:dyDescent="0.3">
      <c r="A41" s="2">
        <v>2</v>
      </c>
      <c r="C41" s="38" t="s">
        <v>13</v>
      </c>
      <c r="D41" s="42">
        <f>TRUNC(139863.247924613,-1)</f>
        <v>139860</v>
      </c>
      <c r="E41" s="63">
        <f t="shared" si="1"/>
        <v>462340</v>
      </c>
    </row>
    <row r="42" spans="1:7" x14ac:dyDescent="0.3">
      <c r="A42" s="2">
        <v>3</v>
      </c>
      <c r="C42" s="38" t="s">
        <v>14</v>
      </c>
      <c r="D42" s="42">
        <f>TRUNC(6371.58739062149,-1)</f>
        <v>6370</v>
      </c>
      <c r="E42" s="63">
        <f t="shared" si="1"/>
        <v>21050</v>
      </c>
    </row>
    <row r="43" spans="1:7" x14ac:dyDescent="0.3">
      <c r="A43" s="2">
        <v>4</v>
      </c>
      <c r="C43" s="38" t="s">
        <v>16</v>
      </c>
      <c r="D43" s="42">
        <f>TRUNC(38497.201929549,-1)</f>
        <v>38490</v>
      </c>
      <c r="E43" s="63">
        <f t="shared" si="1"/>
        <v>127240</v>
      </c>
    </row>
    <row r="44" spans="1:7" x14ac:dyDescent="0.3">
      <c r="A44" s="2">
        <v>5</v>
      </c>
      <c r="C44" s="38" t="s">
        <v>17</v>
      </c>
      <c r="D44" s="42">
        <f>TRUNC(37745.6235135742,-1)</f>
        <v>37740</v>
      </c>
      <c r="E44" s="63">
        <f t="shared" si="1"/>
        <v>124760</v>
      </c>
    </row>
    <row r="45" spans="1:7" x14ac:dyDescent="0.3">
      <c r="A45" s="2">
        <v>6</v>
      </c>
      <c r="C45" s="38" t="s">
        <v>18</v>
      </c>
      <c r="D45" s="42">
        <f>TRUNC(4297.71415750505,-1)</f>
        <v>4290</v>
      </c>
      <c r="E45" s="63">
        <f t="shared" si="1"/>
        <v>14180</v>
      </c>
    </row>
    <row r="46" spans="1:7" x14ac:dyDescent="0.3">
      <c r="A46" s="2">
        <v>7</v>
      </c>
      <c r="C46" s="38" t="s">
        <v>19</v>
      </c>
      <c r="D46" s="42">
        <f>TRUNC(46766.1487547678,-1)</f>
        <v>46760</v>
      </c>
      <c r="E46" s="63">
        <f t="shared" si="1"/>
        <v>154570</v>
      </c>
    </row>
    <row r="47" spans="1:7" x14ac:dyDescent="0.3">
      <c r="A47" s="2">
        <v>8</v>
      </c>
      <c r="C47" s="38" t="s">
        <v>20</v>
      </c>
      <c r="D47" s="42">
        <f>TRUNC(11388.4222571236,-1)</f>
        <v>11380</v>
      </c>
      <c r="E47" s="63">
        <f t="shared" si="1"/>
        <v>37620</v>
      </c>
    </row>
    <row r="48" spans="1:7" x14ac:dyDescent="0.3">
      <c r="A48" s="2">
        <v>9</v>
      </c>
      <c r="C48" s="38" t="s">
        <v>21</v>
      </c>
      <c r="D48" s="42">
        <f>TRUNC(46365.6683868073,-1)</f>
        <v>46360</v>
      </c>
      <c r="E48" s="63">
        <f t="shared" si="1"/>
        <v>153250</v>
      </c>
    </row>
    <row r="49" spans="1:7" x14ac:dyDescent="0.3">
      <c r="A49" s="2">
        <v>10</v>
      </c>
      <c r="C49" s="38" t="s">
        <v>22</v>
      </c>
      <c r="D49" s="42">
        <f>TRUNC(12585.7273951088,-1)</f>
        <v>12580</v>
      </c>
      <c r="E49" s="63">
        <f t="shared" si="1"/>
        <v>41580</v>
      </c>
    </row>
    <row r="50" spans="1:7" x14ac:dyDescent="0.3">
      <c r="A50" s="2">
        <v>11</v>
      </c>
      <c r="C50" s="38" t="s">
        <v>154</v>
      </c>
      <c r="D50" s="42">
        <f>TRUNC(73888.0792012564,-1)</f>
        <v>73880</v>
      </c>
      <c r="E50" s="63">
        <f t="shared" si="1"/>
        <v>244230</v>
      </c>
    </row>
    <row r="51" spans="1:7" x14ac:dyDescent="0.3">
      <c r="A51" s="2">
        <v>12</v>
      </c>
      <c r="C51" s="38" t="s">
        <v>23</v>
      </c>
      <c r="D51" s="42">
        <f>TRUNC(19641.384787974,-1)</f>
        <v>19640</v>
      </c>
      <c r="E51" s="63">
        <f t="shared" si="1"/>
        <v>64920</v>
      </c>
    </row>
    <row r="52" spans="1:7" x14ac:dyDescent="0.3">
      <c r="A52" s="2">
        <v>13</v>
      </c>
      <c r="C52" s="38" t="s">
        <v>24</v>
      </c>
      <c r="D52" s="42">
        <f>TRUNC(6346.2829257348,-1)</f>
        <v>6340</v>
      </c>
      <c r="E52" s="63">
        <f t="shared" si="1"/>
        <v>20950</v>
      </c>
    </row>
    <row r="53" spans="1:7" x14ac:dyDescent="0.3">
      <c r="A53" s="2">
        <v>14</v>
      </c>
      <c r="C53" s="38" t="s">
        <v>25</v>
      </c>
      <c r="D53" s="42">
        <f>TRUNC(39075.4884451425,-1)</f>
        <v>39070</v>
      </c>
      <c r="E53" s="63">
        <f t="shared" si="1"/>
        <v>129150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TRUNC(1143.41687233565,-1)</f>
        <v>1140</v>
      </c>
      <c r="E55" s="63">
        <f t="shared" si="1"/>
        <v>3760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TRUNC(511.164909131703+9119.71954229302+3405.15167152793+8196.28090643931+1261.62665470047,-1)</f>
        <v>22490</v>
      </c>
      <c r="E58" s="63">
        <f t="shared" si="1"/>
        <v>74340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TRUNC(100469.822750729,-1)</f>
        <v>100460</v>
      </c>
      <c r="E59" s="64">
        <f t="shared" si="1"/>
        <v>332100</v>
      </c>
      <c r="F59" s="2" t="s">
        <v>261</v>
      </c>
    </row>
    <row r="60" spans="1:7" x14ac:dyDescent="0.3">
      <c r="A60" s="2">
        <v>21</v>
      </c>
      <c r="C60" s="27" t="s">
        <v>112</v>
      </c>
      <c r="D60" s="39">
        <f>SUM(D40:D59)</f>
        <v>652250</v>
      </c>
      <c r="E60" s="39">
        <f>SUM(E40:E59)</f>
        <v>2156120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f>TRUNC(91427.9463764864,-1)</f>
        <v>91420</v>
      </c>
      <c r="E63" s="62">
        <f>TRUNC(+D63*3.3058,-1)</f>
        <v>302210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91420</v>
      </c>
      <c r="E66" s="65">
        <f>SUM(E63:E65)</f>
        <v>302210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TRUNC(9562.81489791339,-1)</f>
        <v>9560</v>
      </c>
      <c r="E69" s="62">
        <f>TRUNC(+D69*3.3058,-1)</f>
        <v>31600</v>
      </c>
    </row>
    <row r="70" spans="1:7" ht="16.5" customHeight="1" x14ac:dyDescent="0.3">
      <c r="A70" s="2">
        <v>2</v>
      </c>
      <c r="C70" s="38" t="s">
        <v>31</v>
      </c>
      <c r="D70" s="42">
        <f>TRUNC(2048.77294144043,-1)</f>
        <v>2040</v>
      </c>
      <c r="E70" s="63">
        <f>TRUNC(+D70*3.3058,-1)</f>
        <v>6740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TRUNC(63149.4361678259,-1)</f>
        <v>63140</v>
      </c>
      <c r="E78" s="63">
        <f t="shared" si="3"/>
        <v>208720</v>
      </c>
      <c r="F78" s="2" t="s">
        <v>254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TRUNC(19486.3654924837,-1)</f>
        <v>19480</v>
      </c>
      <c r="E92" s="63">
        <f>TRUNC(+D92*3.3058,-1)</f>
        <v>64390</v>
      </c>
      <c r="F92" s="2" t="s">
        <v>255</v>
      </c>
    </row>
    <row r="93" spans="1:7" x14ac:dyDescent="0.3">
      <c r="A93" s="2">
        <v>25</v>
      </c>
      <c r="C93" s="38" t="s">
        <v>148</v>
      </c>
      <c r="D93" s="42">
        <f>TRUNC(250889.163114202,-1)</f>
        <v>250880</v>
      </c>
      <c r="E93" s="63">
        <f>TRUNC(+D93*3.3058,-1)</f>
        <v>829350</v>
      </c>
      <c r="F93" s="2" t="s">
        <v>262</v>
      </c>
    </row>
    <row r="94" spans="1:7" ht="17.25" thickBot="1" x14ac:dyDescent="0.35">
      <c r="A94" s="2">
        <v>26</v>
      </c>
      <c r="C94" s="38" t="s">
        <v>47</v>
      </c>
      <c r="D94" s="43">
        <f>TRUNC(7111.49719542293+9379.93762620597,-1)</f>
        <v>16490</v>
      </c>
      <c r="E94" s="64">
        <f>TRUNC(+D94*3.3058,-1)</f>
        <v>54510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361590</v>
      </c>
      <c r="E95" s="39">
        <f>SUM(E69:E94)</f>
        <v>1195310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TRUNC(12217.4325779672,-1)</f>
        <v>12210</v>
      </c>
      <c r="E98" s="62">
        <f t="shared" ref="E98:E118" si="4">TRUNC(+D98*3.3058,-1)</f>
        <v>40360</v>
      </c>
    </row>
    <row r="99" spans="1:7" x14ac:dyDescent="0.3">
      <c r="A99" s="2">
        <v>2</v>
      </c>
      <c r="C99" s="38" t="s">
        <v>40</v>
      </c>
      <c r="D99" s="42">
        <f>TRUNC(6747.65268117568,-1)</f>
        <v>6740</v>
      </c>
      <c r="E99" s="63">
        <f t="shared" si="4"/>
        <v>22280</v>
      </c>
    </row>
    <row r="100" spans="1:7" x14ac:dyDescent="0.3">
      <c r="A100" s="2">
        <v>3</v>
      </c>
      <c r="C100" s="38" t="s">
        <v>41</v>
      </c>
      <c r="D100" s="42">
        <f>TRUNC(29422.7238052502,-1)</f>
        <v>29420</v>
      </c>
      <c r="E100" s="63">
        <f t="shared" si="4"/>
        <v>97250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TRUNC(2980.47767556652,-1)</f>
        <v>2980</v>
      </c>
      <c r="E102" s="63">
        <f t="shared" si="4"/>
        <v>9850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TRUNC(4347.60489118241,-1)</f>
        <v>4340</v>
      </c>
      <c r="E115" s="63">
        <f t="shared" si="4"/>
        <v>14340</v>
      </c>
      <c r="F115" s="2" t="s">
        <v>257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TRUNC(68636.975544088,-1)</f>
        <v>68630</v>
      </c>
      <c r="E117" s="63">
        <f t="shared" si="4"/>
        <v>226870</v>
      </c>
      <c r="F117" s="2" t="s">
        <v>262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124320</v>
      </c>
      <c r="E119" s="39">
        <f>SUM(E98:E118)</f>
        <v>410950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TRUNC(1292.36122952659,-1)</f>
        <v>1290</v>
      </c>
      <c r="E122" s="62">
        <f t="shared" ref="E122:E132" si="5">TRUNC(+D122*3.3058,-1)</f>
        <v>4260</v>
      </c>
      <c r="F122" s="2" t="s">
        <v>259</v>
      </c>
    </row>
    <row r="123" spans="1:7" x14ac:dyDescent="0.3">
      <c r="A123" s="2">
        <v>2</v>
      </c>
      <c r="C123" s="38" t="s">
        <v>124</v>
      </c>
      <c r="D123" s="42">
        <f>TRUNC(5091.11913843392,-1)</f>
        <v>5090</v>
      </c>
      <c r="E123" s="63">
        <f t="shared" si="5"/>
        <v>16820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TRUNC(3556.95333183756,-1)</f>
        <v>3550</v>
      </c>
      <c r="E125" s="63">
        <f t="shared" si="5"/>
        <v>11730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TRUNC(37417.3210679829,-1)</f>
        <v>37410</v>
      </c>
      <c r="E131" s="63">
        <f t="shared" si="5"/>
        <v>123660</v>
      </c>
      <c r="F131" s="2" t="s">
        <v>262</v>
      </c>
    </row>
    <row r="132" spans="1:7" ht="18" thickBot="1" x14ac:dyDescent="0.35">
      <c r="A132" s="2">
        <v>11</v>
      </c>
      <c r="C132" s="38" t="s">
        <v>47</v>
      </c>
      <c r="D132" s="43">
        <f>TRUNC(658.836437065291,-1)</f>
        <v>650</v>
      </c>
      <c r="E132" s="64">
        <f t="shared" si="5"/>
        <v>2140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47990</v>
      </c>
      <c r="E133" s="39">
        <f>SUM(E122:E132)</f>
        <v>158610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f>TRUNC(23346.1846533543,-1)</f>
        <v>23340</v>
      </c>
      <c r="E136" s="62">
        <f t="shared" ref="E136:E145" si="6">TRUNC(+D136*3.3058,-1)</f>
        <v>77150</v>
      </c>
    </row>
    <row r="137" spans="1:7" x14ac:dyDescent="0.3">
      <c r="A137" s="2">
        <v>2</v>
      </c>
      <c r="C137" s="38" t="s">
        <v>47</v>
      </c>
      <c r="D137" s="42">
        <f>TRUNC(7967.91025353377,-1)</f>
        <v>7960</v>
      </c>
      <c r="E137" s="63">
        <f t="shared" si="6"/>
        <v>26310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31300</v>
      </c>
      <c r="E146" s="39">
        <f>SUM(E136:E145)</f>
        <v>103460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TRUNC(4478.08099618577,-1)</f>
        <v>4470</v>
      </c>
      <c r="E150" s="63">
        <f>TRUNC(+D150*3.3058,-1)</f>
        <v>14770</v>
      </c>
    </row>
    <row r="151" spans="1:7" x14ac:dyDescent="0.3">
      <c r="A151" s="2">
        <v>3</v>
      </c>
      <c r="C151" s="38" t="s">
        <v>50</v>
      </c>
      <c r="D151" s="42">
        <f>TRUNC(4682.85214269688,-1)</f>
        <v>4680</v>
      </c>
      <c r="E151" s="63">
        <f>TRUNC(+D151*3.3058,-1)</f>
        <v>15470</v>
      </c>
    </row>
    <row r="152" spans="1:7" x14ac:dyDescent="0.3">
      <c r="A152" s="2">
        <v>4</v>
      </c>
      <c r="C152" s="38" t="s">
        <v>47</v>
      </c>
      <c r="D152" s="42">
        <f>TRUNC(7918.00471168948+1291.38792910029+2536.10567646399+6791.25151447162,-1)</f>
        <v>18530</v>
      </c>
      <c r="E152" s="63">
        <f>TRUNC(+D152*3.3058,-1)</f>
        <v>61250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27680</v>
      </c>
      <c r="E154" s="39">
        <f>SUM(E149:E153)</f>
        <v>91490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TRUNC(23298.9167601526,-1)</f>
        <v>23290</v>
      </c>
      <c r="E159" s="63">
        <f>TRUNC(+D159*3.3058,-1)</f>
        <v>76990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23290</v>
      </c>
      <c r="E161" s="39">
        <f>SUM(E157:E160)</f>
        <v>76990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2020-12-07T09:11:36Z</dcterms:modified>
</cp:coreProperties>
</file>