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9" i="4"/>
  <c r="D158" i="4"/>
  <c r="D157" i="4"/>
  <c r="D152" i="4"/>
  <c r="D151" i="4"/>
  <c r="D150" i="4"/>
  <c r="D149" i="4"/>
  <c r="D141" i="4"/>
  <c r="D137" i="4"/>
  <c r="D144" i="4"/>
  <c r="D143" i="4"/>
  <c r="D139" i="4"/>
  <c r="D142" i="4"/>
  <c r="D140" i="4"/>
  <c r="D132" i="4"/>
  <c r="D128" i="4"/>
  <c r="D124" i="4"/>
  <c r="D125" i="4"/>
  <c r="D122" i="4"/>
  <c r="D130" i="4"/>
  <c r="D126" i="4"/>
  <c r="D118" i="4"/>
  <c r="D105" i="4"/>
  <c r="D104" i="4"/>
  <c r="D102" i="4"/>
  <c r="D100" i="4"/>
  <c r="D99" i="4"/>
  <c r="D98" i="4"/>
  <c r="D116" i="4"/>
  <c r="D94" i="4"/>
  <c r="D92" i="4"/>
  <c r="D89" i="4"/>
  <c r="D73" i="4"/>
  <c r="D72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<sst xmlns="http://schemas.openxmlformats.org/spreadsheetml/2006/main" count="395" uniqueCount="268">
  <si>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</si>
  <si>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</si>
  <si>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</si>
  <si>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</si>
  <si>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</si>
  <si>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</si>
  <si>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</si>
  <si>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</si>
  <si>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</si>
  <si>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</si>
  <si>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</si>
  <si>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</si>
  <si>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</si>
  <si>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</si>
  <si>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</si>
  <si>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</si>
  <si>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</si>
  <si>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</si>
  <si>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</si>
  <si>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</si>
  <si>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</si>
  <si>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</si>
  <si>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</si>
  <si>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</si>
  <si>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</si>
  <si>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</si>
  <si>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</si>
  <si>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</si>
  <si>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</si>
  <si>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</si>
  <si>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</si>
  <si>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</si>
  <si>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</si>
  <si>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</si>
  <si>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</si>
  <si>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</si>
  <si>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</si>
  <si>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</si>
  <si>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</si>
  <si>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</si>
  <si>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</si>
  <si>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</si>
  <si>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</si>
  <si>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</si>
  <si>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</si>
  <si>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</si>
  <si>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</si>
  <si>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</si>
  <si>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</si>
  <si>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</si>
  <si>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</si>
  <si>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</si>
  <si>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</si>
  <si>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</si>
  <si>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</si>
  <si>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</si>
  <si>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</si>
  <si>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</si>
  <si>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</si>
  <si>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</si>
  <si>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</si>
  <si>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</si>
  <si>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</si>
  <si>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</si>
  <si>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</si>
  <si>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</si>
  <si>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</si>
  <si>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</si>
  <si>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</si>
  <si>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</si>
  <si>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</si>
  <si>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</si>
  <si>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</si>
  <si>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</si>
  <si>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</si>
  <si>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</si>
  <si>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</si>
  <si>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</si>
  <si>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</si>
  <si>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</si>
  <si>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</si>
  <si>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</si>
  <si>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</si>
  <si>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</si>
  <si>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</si>
  <si>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</si>
  <si>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</si>
  <si>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</si>
  <si>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</si>
  <si>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</si>
  <si>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</si>
  <si>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</si>
  <si>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</si>
  <si>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</si>
  <si>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</si>
  <si>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</si>
  <si>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</si>
  <si>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</si>
  <si>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</si>
  <si>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</si>
  <si>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</si>
  <si>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</si>
  <si>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</si>
  <si>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</si>
  <si>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</si>
  <si>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</si>
  <si>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</si>
  <si>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</si>
  <si>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</si>
  <si>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</si>
  <si>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</si>
  <si>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</si>
  <si>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</si>
  <si>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</si>
  <si>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</si>
  <si>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</si>
  <si>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</si>
  <si>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</si>
  <si>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</si>
  <si>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</si>
  <si>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</si>
  <si>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</si>
  <si>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</si>
  <si>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</si>
  <si>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</si>
  <si>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</si>
  <si>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</si>
  <si>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</si>
  <si>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</si>
  <si>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</si>
  <si>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</si>
  <si>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</si>
  <si>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</si>
  <si>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</si>
  <si>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</si>
  <si>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</si>
  <si>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</si>
  <si>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</si>
  <si>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</si>
  <si>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</si>
  <si>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</si>
  <si>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</si>
  <si>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</si>
  <si>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</si>
  <si>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</si>
  <si>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</si>
  <si>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</si>
  <si>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</si>
  <si>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</si>
  <si>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</si>
  <si>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</si>
  <si>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</si>
  <si>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</si>
  <si>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</si>
  <si>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</si>
  <si>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</si>
  <si>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</si>
  <si>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</si>
  <si>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</si>
  <si>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</si>
  <si>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</si>
  <si>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</si>
  <si>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</si>
  <si>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</si>
  <si>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</si>
  <si>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</si>
  <si>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</si>
  <si>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</si>
  <si>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</si>
  <si>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</si>
  <si>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</si>
  <si>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</si>
  <si>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</si>
  <si>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</si>
  <si>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</si>
  <si>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</si>
  <si>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</si>
  <si>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</si>
  <si>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</si>
  <si>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</si>
  <si>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</si>
  <si>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</si>
  <si>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</si>
  <si>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</si>
  <si>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</si>
  <si>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</si>
  <si>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</si>
  <si>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</si>
  <si>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</si>
  <si>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</si>
  <si>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</si>
  <si>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</si>
  <si>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</si>
  <si>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</si>
  <si>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</si>
  <si>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</si>
  <si>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</si>
  <si>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</si>
  <si>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</si>
  <si>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</si>
  <si>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</si>
  <si>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</si>
  <si>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</si>
  <si>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</si>
  <si>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</si>
  <si>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</si>
  <si>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</si>
  <si>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</si>
  <si>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</si>
  <si>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</si>
  <si>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</si>
  <si>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</si>
  <si>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</si>
  <si>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</si>
  <si>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</si>
  <si>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</si>
  <si>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</si>
  <si>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</si>
  <si>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</si>
  <si>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</si>
  <si>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</si>
  <si>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</si>
  <si>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</si>
  <si>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</si>
  <si>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</si>
  <si>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</si>
  <si>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</si>
  <si>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</si>
  <si>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</si>
  <si>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</si>
  <si>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</si>
  <si>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</si>
  <si>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</si>
  <si>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</si>
  <si>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</si>
  <si>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</si>
  <si>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</si>
  <si>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</si>
  <si>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</si>
  <si>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</si>
  <si>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</si>
  <si>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</si>
  <si>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</si>
  <si>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</si>
  <si>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</si>
  <si>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</si>
  <si>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</si>
  <si>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</si>
  <si>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(가칭)천안번영유치원 교사 신축공사</t>
    <phoneticPr fontId="2" type="noConversion"/>
  </si>
  <si>
    <t>교육연구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</si>
  <si>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</si>
  <si>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</si>
  <si>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</si>
  <si>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</si>
  <si>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</si>
  <si>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</si>
  <si>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</si>
  <si>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</si>
  <si>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</si>
  <si>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</si>
  <si>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무선통신보조설비공사</t>
    <phoneticPr fontId="2" type="noConversion"/>
  </si>
  <si>
    <t>오수공사</t>
    <phoneticPr fontId="2" type="noConversion"/>
  </si>
  <si>
    <t>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</si>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</sst>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1438.61</v>
      </c>
      <c r="D7" s="36">
        <f>+C7/3.3058</f>
        <v>435.1775667009498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814980</v>
      </c>
      <c r="E25" s="59">
        <f t="shared" si="0"/>
        <v>2694160</v>
      </c>
    </row>
    <row r="26" spans="1:5" x14ac:dyDescent="0.3">
      <c r="B26" s="2">
        <v>3</v>
      </c>
      <c r="C26" s="35" t="s">
        <v>95</v>
      </c>
      <c r="D26" s="45">
        <f>+D66</f>
        <v>31000</v>
      </c>
      <c r="E26" s="59">
        <f t="shared" si="0"/>
        <v>102470</v>
      </c>
    </row>
    <row r="27" spans="1:5" x14ac:dyDescent="0.3">
      <c r="B27" s="2">
        <v>4</v>
      </c>
      <c r="C27" s="35" t="s">
        <v>96</v>
      </c>
      <c r="D27" s="45">
        <f>+D95</f>
        <v>239540</v>
      </c>
      <c r="E27" s="59">
        <f t="shared" si="0"/>
        <v>791870</v>
      </c>
    </row>
    <row r="28" spans="1:5" x14ac:dyDescent="0.3">
      <c r="B28" s="2">
        <v>5</v>
      </c>
      <c r="C28" s="35" t="s">
        <v>97</v>
      </c>
      <c r="D28" s="45">
        <f>+D119</f>
        <v>206590</v>
      </c>
      <c r="E28" s="59">
        <f t="shared" si="0"/>
        <v>682940</v>
      </c>
    </row>
    <row r="29" spans="1:5" x14ac:dyDescent="0.3">
      <c r="B29" s="2">
        <v>6</v>
      </c>
      <c r="C29" s="35" t="s">
        <v>98</v>
      </c>
      <c r="D29" s="45">
        <f>+D133</f>
        <v>56620</v>
      </c>
      <c r="E29" s="59">
        <f t="shared" si="0"/>
        <v>187170</v>
      </c>
    </row>
    <row r="30" spans="1:5" x14ac:dyDescent="0.3">
      <c r="B30" s="2">
        <v>7</v>
      </c>
      <c r="C30" s="35" t="s">
        <v>99</v>
      </c>
      <c r="D30" s="45">
        <f>+D146</f>
        <v>78720</v>
      </c>
      <c r="E30" s="59">
        <f t="shared" si="0"/>
        <v>260230</v>
      </c>
    </row>
    <row r="31" spans="1:5" x14ac:dyDescent="0.3">
      <c r="B31" s="2">
        <v>8</v>
      </c>
      <c r="C31" s="35" t="s">
        <v>100</v>
      </c>
      <c r="D31" s="45">
        <f>+D154</f>
        <v>67490</v>
      </c>
      <c r="E31" s="59">
        <f t="shared" si="0"/>
        <v>223100</v>
      </c>
    </row>
    <row r="32" spans="1:5" x14ac:dyDescent="0.3">
      <c r="B32" s="2">
        <v>9</v>
      </c>
      <c r="C32" s="35" t="s">
        <v>101</v>
      </c>
      <c r="D32" s="45">
        <f>+D161</f>
        <v>12960</v>
      </c>
      <c r="E32" s="59">
        <f t="shared" si="0"/>
        <v>42840</v>
      </c>
    </row>
    <row r="33" spans="1:7" x14ac:dyDescent="0.3">
      <c r="B33" s="2">
        <v>10</v>
      </c>
      <c r="C33" s="35" t="s">
        <v>154</v>
      </c>
      <c r="D33" s="53">
        <f>TRUNC(SUM(D24:D32)*0.275,-1)</f>
        <v>414670</v>
      </c>
      <c r="E33" s="60">
        <f t="shared" si="0"/>
        <v>1370810</v>
      </c>
    </row>
    <row r="34" spans="1:7" x14ac:dyDescent="0.3">
      <c r="C34" s="35" t="s">
        <v>112</v>
      </c>
      <c r="D34" s="44">
        <f>SUM(D24:D33)</f>
        <v>1922570</v>
      </c>
      <c r="E34" s="44">
        <f>SUM(E24:E33)</f>
        <v>6355590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113</v>
      </c>
      <c r="D39" s="57" t="s">
        <v>235</v>
      </c>
      <c r="E39" s="57" t="s">
        <v>153</v>
      </c>
      <c r="G39" s="55"/>
    </row>
    <row r="40" spans="1:7" x14ac:dyDescent="0.3">
      <c r="A40" s="2">
        <v>1</v>
      </c>
      <c r="C40" s="38" t="s">
        <v>15</v>
      </c>
      <c r="D40" s="40">
        <f>TRUNC(47323,-1)</f>
        <v>47320</v>
      </c>
      <c r="E40" s="62">
        <f t="shared" ref="E40:E59" si="1">TRUNC(+D40*3.3058,-1)</f>
        <v>156430</v>
      </c>
    </row>
    <row r="41" spans="1:7" x14ac:dyDescent="0.3">
      <c r="A41" s="2">
        <v>2</v>
      </c>
      <c r="C41" s="38" t="s">
        <v>13</v>
      </c>
      <c r="D41" s="42">
        <f>TRUNC(215788,-1)</f>
        <v>215780</v>
      </c>
      <c r="E41" s="63">
        <f t="shared" si="1"/>
        <v>713320</v>
      </c>
    </row>
    <row r="42" spans="1:7" x14ac:dyDescent="0.3">
      <c r="A42" s="2">
        <v>3</v>
      </c>
      <c r="C42" s="38" t="s">
        <v>14</v>
      </c>
      <c r="D42" s="42">
        <f>TRUNC(21778,-1)</f>
        <v>21770</v>
      </c>
      <c r="E42" s="63">
        <f t="shared" si="1"/>
        <v>71960</v>
      </c>
    </row>
    <row r="43" spans="1:7" x14ac:dyDescent="0.3">
      <c r="A43" s="2">
        <v>4</v>
      </c>
      <c r="C43" s="38" t="s">
        <v>16</v>
      </c>
      <c r="D43" s="42">
        <f>TRUNC(62452,-1)</f>
        <v>62450</v>
      </c>
      <c r="E43" s="63">
        <f t="shared" si="1"/>
        <v>206440</v>
      </c>
    </row>
    <row r="44" spans="1:7" x14ac:dyDescent="0.3">
      <c r="A44" s="2">
        <v>5</v>
      </c>
      <c r="C44" s="38" t="s">
        <v>17</v>
      </c>
      <c r="D44" s="42">
        <f>TRUNC(27720,-1)</f>
        <v>27720</v>
      </c>
      <c r="E44" s="63">
        <f t="shared" si="1"/>
        <v>91630</v>
      </c>
    </row>
    <row r="45" spans="1:7" x14ac:dyDescent="0.3">
      <c r="A45" s="2">
        <v>6</v>
      </c>
      <c r="C45" s="38" t="s">
        <v>18</v>
      </c>
      <c r="D45" s="42">
        <f>TRUNC(21998,-1)</f>
        <v>21990</v>
      </c>
      <c r="E45" s="63">
        <f t="shared" si="1"/>
        <v>72690</v>
      </c>
    </row>
    <row r="46" spans="1:7" x14ac:dyDescent="0.3">
      <c r="A46" s="2">
        <v>7</v>
      </c>
      <c r="C46" s="38" t="s">
        <v>19</v>
      </c>
      <c r="D46" s="42">
        <f>TRUNC(4318,-1)</f>
        <v>4310</v>
      </c>
      <c r="E46" s="63">
        <f t="shared" si="1"/>
        <v>14240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TRUNC(31836,-1)</f>
        <v>31830</v>
      </c>
      <c r="E48" s="63">
        <f t="shared" si="1"/>
        <v>105220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TRUNC(50155,-1)</f>
        <v>50150</v>
      </c>
      <c r="E49" s="63">
        <f t="shared" si="1"/>
        <v>165780</v>
      </c>
    </row>
    <row r="50" spans="1:7" x14ac:dyDescent="0.3">
      <c r="A50" s="2">
        <v>11</v>
      </c>
      <c r="C50" s="38" t="s">
        <v>155</v>
      </c>
      <c r="D50" s="42">
        <f>TRUNC(27835,-1)</f>
        <v>27830</v>
      </c>
      <c r="E50" s="63">
        <f t="shared" si="1"/>
        <v>92000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TRUNC(18682,-1)</f>
        <v>18680</v>
      </c>
      <c r="E52" s="63">
        <f t="shared" si="1"/>
        <v>61750</v>
      </c>
    </row>
    <row r="53" spans="1:7" x14ac:dyDescent="0.3">
      <c r="A53" s="2">
        <v>14</v>
      </c>
      <c r="C53" s="38" t="s">
        <v>25</v>
      </c>
      <c r="D53" s="42">
        <f>TRUNC(65865,-1)</f>
        <v>65860</v>
      </c>
      <c r="E53" s="63">
        <f t="shared" si="1"/>
        <v>217710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TRUNC(18074+9234-805+482+13265,-1)</f>
        <v>40250</v>
      </c>
      <c r="E58" s="63">
        <f t="shared" si="1"/>
        <v>133050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TRUNC(179048,-1)</f>
        <v>179040</v>
      </c>
      <c r="E59" s="64">
        <f t="shared" si="1"/>
        <v>591870</v>
      </c>
    </row>
    <row r="60" spans="1:7" x14ac:dyDescent="0.3">
      <c r="A60" s="2">
        <v>21</v>
      </c>
      <c r="C60" s="27" t="s">
        <v>112</v>
      </c>
      <c r="D60" s="39">
        <f>SUM(D40:D59)</f>
        <v>814980</v>
      </c>
      <c r="E60" s="39">
        <f>SUM(E40:E59)</f>
        <v>2694090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TRUNC(7105,-1)</f>
        <v>7100</v>
      </c>
      <c r="E63" s="62">
        <f>TRUNC(+D63*3.3058,-1)</f>
        <v>23470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TRUNC(23902,-1)</f>
        <v>23900</v>
      </c>
      <c r="E65" s="64">
        <f>TRUNC(+D65*3.3058,-1)</f>
        <v>79000</v>
      </c>
    </row>
    <row r="66" spans="1:7" x14ac:dyDescent="0.3">
      <c r="A66" s="2">
        <v>4</v>
      </c>
      <c r="C66" s="27" t="s">
        <v>112</v>
      </c>
      <c r="D66" s="39">
        <f>SUM(D63:D65)</f>
        <v>31000</v>
      </c>
      <c r="E66" s="65">
        <f>SUM(E63:E65)</f>
        <v>102470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TRUNC(9054,-1)</f>
        <v>9050</v>
      </c>
      <c r="E69" s="62">
        <f t="shared" ref="E69:E94" si="2">TRUNC(+D69*3.3058,-1)</f>
        <v>29910</v>
      </c>
    </row>
    <row r="70" spans="1:7" ht="16.5" customHeight="1" x14ac:dyDescent="0.3">
      <c r="A70" s="2">
        <v>2</v>
      </c>
      <c r="C70" s="38" t="s">
        <v>31</v>
      </c>
      <c r="D70" s="42">
        <f>TRUNC(782,-1)</f>
        <v>780</v>
      </c>
      <c r="E70" s="63">
        <f t="shared" si="2"/>
        <v>2570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TRUNC(6205,-1)</f>
        <v>6200</v>
      </c>
      <c r="E72" s="63">
        <f t="shared" si="2"/>
        <v>20490</v>
      </c>
    </row>
    <row r="73" spans="1:7" x14ac:dyDescent="0.3">
      <c r="A73" s="2">
        <v>5</v>
      </c>
      <c r="C73" s="38" t="s">
        <v>34</v>
      </c>
      <c r="D73" s="42">
        <f>TRUNC(21709,-1)</f>
        <v>21700</v>
      </c>
      <c r="E73" s="63">
        <f t="shared" si="2"/>
        <v>71730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TRUNC(8098,-1)</f>
        <v>8090</v>
      </c>
      <c r="E89" s="63">
        <f t="shared" si="2"/>
        <v>26740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TRUNC(13058,-1)</f>
        <v>13050</v>
      </c>
      <c r="E92" s="63">
        <f t="shared" si="2"/>
        <v>43140</v>
      </c>
    </row>
    <row r="93" spans="1:7" x14ac:dyDescent="0.3">
      <c r="A93" s="2">
        <v>25</v>
      </c>
      <c r="C93" s="38" t="s">
        <v>148</v>
      </c>
      <c r="D93" s="42">
        <f>TRUNC(158111,-1)</f>
        <v>158110</v>
      </c>
      <c r="E93" s="63">
        <f t="shared" si="2"/>
        <v>522680</v>
      </c>
    </row>
    <row r="94" spans="1:7" ht="17.25" thickBot="1" x14ac:dyDescent="0.35">
      <c r="A94" s="2">
        <v>26</v>
      </c>
      <c r="C94" s="38" t="s">
        <v>47</v>
      </c>
      <c r="D94" s="43">
        <f>TRUNC(6273+3462+12833,-1)</f>
        <v>22560</v>
      </c>
      <c r="E94" s="64">
        <f t="shared" si="2"/>
        <v>74570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239540</v>
      </c>
      <c r="E95" s="39">
        <f>SUM(E69:E94)</f>
        <v>791830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TRUNC(17662,-1)</f>
        <v>17660</v>
      </c>
      <c r="E98" s="62">
        <f t="shared" ref="E98:E118" si="3">TRUNC(+D98*3.3058,-1)</f>
        <v>58380</v>
      </c>
    </row>
    <row r="99" spans="1:7" x14ac:dyDescent="0.3">
      <c r="A99" s="2">
        <v>2</v>
      </c>
      <c r="C99" s="38" t="s">
        <v>40</v>
      </c>
      <c r="D99" s="42">
        <f>TRUNC(23625,-1)</f>
        <v>23620</v>
      </c>
      <c r="E99" s="63">
        <f t="shared" si="3"/>
        <v>78080</v>
      </c>
    </row>
    <row r="100" spans="1:7" x14ac:dyDescent="0.3">
      <c r="A100" s="2">
        <v>3</v>
      </c>
      <c r="C100" s="38" t="s">
        <v>41</v>
      </c>
      <c r="D100" s="42">
        <f>TRUNC(29659,-1)</f>
        <v>29650</v>
      </c>
      <c r="E100" s="63">
        <f t="shared" si="3"/>
        <v>98010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TRUNC(11322,-1)</f>
        <v>11320</v>
      </c>
      <c r="E102" s="63">
        <f t="shared" si="3"/>
        <v>37420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TRUNC(6572,-1)</f>
        <v>6570</v>
      </c>
      <c r="E104" s="63">
        <f t="shared" si="3"/>
        <v>21710</v>
      </c>
    </row>
    <row r="105" spans="1:7" x14ac:dyDescent="0.3">
      <c r="A105" s="2">
        <v>8</v>
      </c>
      <c r="C105" s="38" t="s">
        <v>46</v>
      </c>
      <c r="D105" s="42">
        <f>TRUNC(8216,-1)</f>
        <v>8210</v>
      </c>
      <c r="E105" s="63">
        <f t="shared" si="3"/>
        <v>27140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TRUNC(3516,-1)</f>
        <v>3510</v>
      </c>
      <c r="E116" s="63">
        <f t="shared" si="3"/>
        <v>11600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TRUNC(103637,-1)</f>
        <v>103630</v>
      </c>
      <c r="E117" s="63">
        <f t="shared" si="3"/>
        <v>342580</v>
      </c>
    </row>
    <row r="118" spans="1:7" ht="17.25" thickBot="1" x14ac:dyDescent="0.35">
      <c r="A118" s="2">
        <v>21</v>
      </c>
      <c r="C118" s="38" t="s">
        <v>47</v>
      </c>
      <c r="D118" s="43">
        <f>TRUNC(2422,-1)</f>
        <v>2420</v>
      </c>
      <c r="E118" s="64">
        <f t="shared" si="3"/>
        <v>8000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206590</v>
      </c>
      <c r="E119" s="39">
        <f>SUM(E98:E118)</f>
        <v>682920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TRUNC(4414,-1)</f>
        <v>4410</v>
      </c>
      <c r="E122" s="62">
        <f t="shared" ref="E122:E132" si="4">TRUNC(+D122*3.3058,-1)</f>
        <v>14570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TRUNC(1025,-1)</f>
        <v>1020</v>
      </c>
      <c r="E124" s="63">
        <f t="shared" si="4"/>
        <v>3370</v>
      </c>
    </row>
    <row r="125" spans="1:7" x14ac:dyDescent="0.3">
      <c r="A125" s="2">
        <v>4</v>
      </c>
      <c r="C125" s="38" t="s">
        <v>138</v>
      </c>
      <c r="D125" s="42">
        <f>TRUNC(7551,-1)</f>
        <v>7550</v>
      </c>
      <c r="E125" s="63">
        <f t="shared" si="4"/>
        <v>24950</v>
      </c>
    </row>
    <row r="126" spans="1:7" x14ac:dyDescent="0.3">
      <c r="A126" s="2">
        <v>5</v>
      </c>
      <c r="C126" s="38" t="s">
        <v>53</v>
      </c>
      <c r="D126" s="42">
        <f>TRUNC(2244,-1)</f>
        <v>2240</v>
      </c>
      <c r="E126" s="63">
        <f t="shared" si="4"/>
        <v>7400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TRUNC(5907,-1)</f>
        <v>5900</v>
      </c>
      <c r="E128" s="63">
        <f t="shared" si="4"/>
        <v>19500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TRUNC(13261,-1)</f>
        <v>13260</v>
      </c>
      <c r="E130" s="63">
        <f t="shared" si="4"/>
        <v>43830</v>
      </c>
    </row>
    <row r="131" spans="1:7" x14ac:dyDescent="0.3">
      <c r="A131" s="2">
        <v>10</v>
      </c>
      <c r="C131" s="38" t="s">
        <v>148</v>
      </c>
      <c r="D131" s="42">
        <f>TRUNC(20432,-1)</f>
        <v>20430</v>
      </c>
      <c r="E131" s="63">
        <f t="shared" si="4"/>
        <v>67530</v>
      </c>
    </row>
    <row r="132" spans="1:7" ht="18" thickBot="1" x14ac:dyDescent="0.35">
      <c r="A132" s="2">
        <v>11</v>
      </c>
      <c r="C132" s="38" t="s">
        <v>47</v>
      </c>
      <c r="D132" s="43">
        <f>TRUNC(1812,-1)</f>
        <v>1810</v>
      </c>
      <c r="E132" s="64">
        <f t="shared" si="4"/>
        <v>5980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56620</v>
      </c>
      <c r="E133" s="39">
        <f>SUM(E122:E132)</f>
        <v>187130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TRUNC(1956,-1)</f>
        <v>1950</v>
      </c>
      <c r="E137" s="63">
        <f t="shared" si="5"/>
        <v>6440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TRUNC(5656,-1)</f>
        <v>5650</v>
      </c>
      <c r="E139" s="63">
        <f t="shared" si="5"/>
        <v>18670</v>
      </c>
    </row>
    <row r="140" spans="1:7" x14ac:dyDescent="0.3">
      <c r="A140" s="2">
        <v>5</v>
      </c>
      <c r="C140" s="38" t="s">
        <v>57</v>
      </c>
      <c r="D140" s="42">
        <f>TRUNC(17230,-1)</f>
        <v>17230</v>
      </c>
      <c r="E140" s="63">
        <f t="shared" si="5"/>
        <v>56950</v>
      </c>
    </row>
    <row r="141" spans="1:7" x14ac:dyDescent="0.3">
      <c r="A141" s="2">
        <v>6</v>
      </c>
      <c r="C141" s="38" t="s">
        <v>59</v>
      </c>
      <c r="D141" s="42">
        <f>TRUNC(23215,-1)</f>
        <v>23210</v>
      </c>
      <c r="E141" s="63">
        <f t="shared" si="5"/>
        <v>76720</v>
      </c>
    </row>
    <row r="142" spans="1:7" x14ac:dyDescent="0.3">
      <c r="A142" s="2">
        <v>7</v>
      </c>
      <c r="C142" s="38" t="s">
        <v>58</v>
      </c>
      <c r="D142" s="42">
        <f>TRUNC(10774,-1)</f>
        <v>10770</v>
      </c>
      <c r="E142" s="63">
        <f t="shared" si="5"/>
        <v>35600</v>
      </c>
    </row>
    <row r="143" spans="1:7" x14ac:dyDescent="0.3">
      <c r="A143" s="2">
        <v>8</v>
      </c>
      <c r="C143" s="38" t="s">
        <v>62</v>
      </c>
      <c r="D143" s="42">
        <f>TRUNC(3016,-1)</f>
        <v>3010</v>
      </c>
      <c r="E143" s="63">
        <f t="shared" si="5"/>
        <v>9950</v>
      </c>
    </row>
    <row r="144" spans="1:7" x14ac:dyDescent="0.3">
      <c r="A144" s="2">
        <v>9</v>
      </c>
      <c r="C144" s="38" t="s">
        <v>63</v>
      </c>
      <c r="D144" s="42">
        <f>TRUNC(16904,-1)</f>
        <v>16900</v>
      </c>
      <c r="E144" s="63">
        <f t="shared" si="5"/>
        <v>55860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78720</v>
      </c>
      <c r="E146" s="39">
        <f>SUM(E136:E145)</f>
        <v>260190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TRUNC(5496,-1)</f>
        <v>5490</v>
      </c>
      <c r="E149" s="62">
        <f>TRUNC(+D149*3.3058,-1)</f>
        <v>18140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TRUNC(2679,-1)</f>
        <v>2670</v>
      </c>
      <c r="E150" s="63">
        <f>TRUNC(+D150*3.3058,-1)</f>
        <v>8820</v>
      </c>
    </row>
    <row r="151" spans="1:7" x14ac:dyDescent="0.3">
      <c r="A151" s="2">
        <v>3</v>
      </c>
      <c r="C151" s="38" t="s">
        <v>50</v>
      </c>
      <c r="D151" s="42">
        <f>TRUNC(3011,-1)</f>
        <v>3010</v>
      </c>
      <c r="E151" s="63">
        <f>TRUNC(+D151*3.3058,-1)</f>
        <v>9950</v>
      </c>
    </row>
    <row r="152" spans="1:7" x14ac:dyDescent="0.3">
      <c r="A152" s="2">
        <v>4</v>
      </c>
      <c r="C152" s="38" t="s">
        <v>47</v>
      </c>
      <c r="D152" s="42">
        <f>TRUNC(9060+3084,-1)</f>
        <v>12140</v>
      </c>
      <c r="E152" s="63">
        <f>TRUNC(+D152*3.3058,-1)</f>
        <v>40130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TRUNC(44184,-1)</f>
        <v>44180</v>
      </c>
      <c r="E153" s="64">
        <f>TRUNC(+D153*3.3058,-1)</f>
        <v>146050</v>
      </c>
    </row>
    <row r="154" spans="1:7" x14ac:dyDescent="0.3">
      <c r="A154" s="2">
        <v>6</v>
      </c>
      <c r="C154" s="27" t="s">
        <v>112</v>
      </c>
      <c r="D154" s="39">
        <f>SUM(D149:D153)</f>
        <v>67490</v>
      </c>
      <c r="E154" s="39">
        <f>SUM(E149:E153)</f>
        <v>223090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TRUNC(7996,-1)</f>
        <v>7990</v>
      </c>
      <c r="E157" s="62">
        <f>TRUNC(+D157*3.3058,-1)</f>
        <v>26410</v>
      </c>
    </row>
    <row r="158" spans="1:7" x14ac:dyDescent="0.3">
      <c r="A158" s="2">
        <v>2</v>
      </c>
      <c r="C158" s="38" t="s">
        <v>52</v>
      </c>
      <c r="D158" s="42">
        <f>TRUNC(3828,-1)</f>
        <v>3820</v>
      </c>
      <c r="E158" s="63">
        <f>TRUNC(+D158*3.3058,-1)</f>
        <v>12620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TRUNC(1151,-1)</f>
        <v>1150</v>
      </c>
      <c r="E159" s="63">
        <f>TRUNC(+D159*3.3058,-1)</f>
        <v>3800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12960</v>
      </c>
      <c r="E161" s="39">
        <f>SUM(E157:E160)</f>
        <v>42830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2020-12-08T04:41:57Z</dcterms:modified>
</cp:coreProperties>
</file>