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0" i="4" l="1"/>
  <c r="D159" i="4"/>
  <c r="D158" i="4"/>
  <c r="D157" i="4"/>
  <c r="D153" i="4"/>
  <c r="D152" i="4"/>
  <c r="D144" i="4"/>
  <c r="D143" i="4"/>
  <c r="D142" i="4"/>
  <c r="D140" i="4"/>
  <c r="D139" i="4"/>
  <c r="D138" i="4"/>
  <c r="D132" i="4"/>
  <c r="D131" i="4"/>
  <c r="D130" i="4"/>
  <c r="D128" i="4"/>
  <c r="D125" i="4"/>
  <c r="D124" i="4"/>
  <c r="D122" i="4"/>
  <c r="D117" i="4"/>
  <c r="D114" i="4"/>
  <c r="D105" i="4"/>
  <c r="D104" i="4"/>
  <c r="D102" i="4"/>
  <c r="D100" i="4"/>
  <c r="D99" i="4"/>
  <c r="D98" i="4"/>
  <c r="D94" i="4"/>
  <c r="D93" i="4"/>
  <c r="D92" i="4"/>
  <c r="D91" i="4"/>
  <c r="D73" i="4"/>
  <c r="D72" i="4"/>
  <c r="D71" i="4"/>
  <c r="D70" i="4"/>
  <c r="D69" i="4"/>
  <c r="D63" i="4"/>
  <c r="D59" i="4"/>
  <c r="D58" i="4"/>
  <c r="D53" i="4"/>
  <c r="D52" i="4"/>
  <c r="D50" i="4"/>
  <c r="D49" i="4"/>
  <c r="D48" i="4"/>
  <c r="D46" i="4"/>
  <c r="D45" i="4"/>
  <c r="D44" i="4"/>
  <c r="D43" i="4"/>
  <c r="D41" i="4"/>
  <c r="D40" i="4"/>
  <c r="D149" i="4"/>
  <c r="D118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 l="1"/>
  <c r="E34" i="4"/>
</calcChain>
</file>

<file path=xl/sharedStrings.xml><?xml version="1.0" encoding="utf-8"?>
<sst xmlns="http://schemas.openxmlformats.org/spreadsheetml/2006/main" count="393" uniqueCount="267">
  <si>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</si>
  <si>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</si>
  <si>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</si>
  <si>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</si>
  <si>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</si>
  <si>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</si>
  <si>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</si>
  <si>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</si>
  <si>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</si>
  <si>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</si>
  <si>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</si>
  <si>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</si>
  <si>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</si>
  <si>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</si>
  <si>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</si>
  <si>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</si>
  <si>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</si>
  <si>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</si>
  <si>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</si>
  <si>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</si>
  <si>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</si>
  <si>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</si>
  <si>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</si>
  <si>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</si>
  <si>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</si>
  <si>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</si>
  <si>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</si>
  <si>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</si>
  <si>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</si>
  <si>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</si>
  <si>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</si>
  <si>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</si>
  <si>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</si>
  <si>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</si>
  <si>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</si>
  <si>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</si>
  <si>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</si>
  <si>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</si>
  <si>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</si>
  <si>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</si>
  <si>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</si>
  <si>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</si>
  <si>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</si>
  <si>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</si>
  <si>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</si>
  <si>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</si>
  <si>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</si>
  <si>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</si>
  <si>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</si>
  <si>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</si>
  <si>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</si>
  <si>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</si>
  <si>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</si>
  <si>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</si>
  <si>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</si>
  <si>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</si>
  <si>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</si>
  <si>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</si>
  <si>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</si>
  <si>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</si>
  <si>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</si>
  <si>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</si>
  <si>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</si>
  <si>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</si>
  <si>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</si>
  <si>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</si>
  <si>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</si>
  <si>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</si>
  <si>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</si>
  <si>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</si>
  <si>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</si>
  <si>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</si>
  <si>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</si>
  <si>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</si>
  <si>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</si>
  <si>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</si>
  <si>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</si>
  <si>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</si>
  <si>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</si>
  <si>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</si>
  <si>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</si>
  <si>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</si>
  <si>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</si>
  <si>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</si>
  <si>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</si>
  <si>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</si>
  <si>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</si>
  <si>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</si>
  <si>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</si>
  <si>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</si>
  <si>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</si>
  <si>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</si>
  <si>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</si>
  <si>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</si>
  <si>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</si>
  <si>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</si>
  <si>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</si>
  <si>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</si>
  <si>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</si>
  <si>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</si>
  <si>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</si>
  <si>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</si>
  <si>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</si>
  <si>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</si>
  <si>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</si>
  <si>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</si>
  <si>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</si>
  <si>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</si>
  <si>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</si>
  <si>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</si>
  <si>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</si>
  <si>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</si>
  <si>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</si>
  <si>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</si>
  <si>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</si>
  <si>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</si>
  <si>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</si>
  <si>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</si>
  <si>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</si>
  <si>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</si>
  <si>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</si>
  <si>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</si>
  <si>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</si>
  <si>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</si>
  <si>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</si>
  <si>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</si>
  <si>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</si>
  <si>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</si>
  <si>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</si>
  <si>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</si>
  <si>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</si>
  <si>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</si>
  <si>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</si>
  <si>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</si>
  <si>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</si>
  <si>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</si>
  <si>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</si>
  <si>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</si>
  <si>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</si>
  <si>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</si>
  <si>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</si>
  <si>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</si>
  <si>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</si>
  <si>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</si>
  <si>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</si>
  <si>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</si>
  <si>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</si>
  <si>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</si>
  <si>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</si>
  <si>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</si>
  <si>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</si>
  <si>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</si>
  <si>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</si>
  <si>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</si>
  <si>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</si>
  <si>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</si>
  <si>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</si>
  <si>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</si>
  <si>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</si>
  <si>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</si>
  <si>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</si>
  <si>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</si>
  <si>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</si>
  <si>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</si>
  <si>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</si>
  <si>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</si>
  <si>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</si>
  <si>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</si>
  <si>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</si>
  <si>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</si>
  <si>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</si>
  <si>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</si>
  <si>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</si>
  <si>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</si>
  <si>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</si>
  <si>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</si>
  <si>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</si>
  <si>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</si>
  <si>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</si>
  <si>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</si>
  <si>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</si>
  <si>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</si>
  <si>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</si>
  <si>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</si>
  <si>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</si>
  <si>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</si>
  <si>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</si>
  <si>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</si>
  <si>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</si>
  <si>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</si>
  <si>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</si>
  <si>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</si>
  <si>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</si>
  <si>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</si>
  <si>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</si>
  <si>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</si>
  <si>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</si>
  <si>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</si>
  <si>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</si>
  <si>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</si>
  <si>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</si>
  <si>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</si>
  <si>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</si>
  <si>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</si>
  <si>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</si>
  <si>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</si>
  <si>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</si>
  <si>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</si>
  <si>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</si>
  <si>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</si>
  <si>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</si>
  <si>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</si>
  <si>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</si>
  <si>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</si>
  <si>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</si>
  <si>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</si>
  <si>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</si>
  <si>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</si>
  <si>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</si>
  <si>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</si>
  <si>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</si>
  <si>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</si>
  <si>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</si>
  <si>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</si>
  <si>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</si>
  <si>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</si>
  <si>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</si>
  <si>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</si>
  <si>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</si>
  <si>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</si>
  <si>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</si>
  <si>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</si>
  <si>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</si>
  <si>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</si>
  <si>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</si>
  <si>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</si>
  <si>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</si>
  <si>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</si>
  <si>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</si>
  <si>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</si>
  <si>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</si>
  <si>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</si>
  <si>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</si>
  <si>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</si>
  <si>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</si>
  <si>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</si>
  <si>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</si>
  <si>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</si>
  <si>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</si>
  <si>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</si>
  <si>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</si>
  <si>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</si>
  <si>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</si>
  <si>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</si>
  <si>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</si>
  <si>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 주차관제설비공사</t>
    <phoneticPr fontId="2" type="noConversion"/>
  </si>
  <si>
    <t>포장공사, 기타공사</t>
    <phoneticPr fontId="2" type="noConversion"/>
  </si>
  <si>
    <t>목포항(연안포함)VTS신축공사(건축)</t>
    <phoneticPr fontId="2" type="noConversion"/>
  </si>
  <si>
    <t>업무</t>
  </si>
  <si>
    <t>전라도</t>
  </si>
  <si>
    <t>기초공사, 폐기물처리비, 골재비및운반비, 작업부산물, 품질시험비, 기타공사</t>
    <phoneticPr fontId="2" type="noConversion"/>
  </si>
  <si>
    <t>바닥난방공사</t>
    <phoneticPr fontId="2" type="noConversion"/>
  </si>
  <si>
    <t>원격검침 설비공사, 기타공사</t>
    <phoneticPr fontId="2" type="noConversion"/>
  </si>
  <si>
    <t>상수도공사, 사급자재비,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</si>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</sst>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258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2730.57</v>
      </c>
      <c r="D7" s="36">
        <f>+C7/3.3058</f>
        <v>825.9937080283139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210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1273810</v>
      </c>
      <c r="E25" s="59">
        <f t="shared" si="0"/>
        <v>4210960</v>
      </c>
    </row>
    <row r="26" spans="1:5" x14ac:dyDescent="0.3">
      <c r="B26" s="2">
        <v>3</v>
      </c>
      <c r="C26" s="35" t="s">
        <v>95</v>
      </c>
      <c r="D26" s="45">
        <f>+D66</f>
        <v>22880</v>
      </c>
      <c r="E26" s="59">
        <f t="shared" si="0"/>
        <v>75630</v>
      </c>
    </row>
    <row r="27" spans="1:5" x14ac:dyDescent="0.3">
      <c r="B27" s="2">
        <v>4</v>
      </c>
      <c r="C27" s="35" t="s">
        <v>96</v>
      </c>
      <c r="D27" s="45">
        <f>+D95</f>
        <v>242530</v>
      </c>
      <c r="E27" s="59">
        <f t="shared" si="0"/>
        <v>801750</v>
      </c>
    </row>
    <row r="28" spans="1:5" x14ac:dyDescent="0.3">
      <c r="B28" s="2">
        <v>5</v>
      </c>
      <c r="C28" s="35" t="s">
        <v>97</v>
      </c>
      <c r="D28" s="45">
        <f>+D119</f>
        <v>331600</v>
      </c>
      <c r="E28" s="59">
        <f t="shared" si="0"/>
        <v>1096200</v>
      </c>
    </row>
    <row r="29" spans="1:5" x14ac:dyDescent="0.3">
      <c r="B29" s="2">
        <v>6</v>
      </c>
      <c r="C29" s="35" t="s">
        <v>98</v>
      </c>
      <c r="D29" s="45">
        <f>+D133</f>
        <v>118340</v>
      </c>
      <c r="E29" s="59">
        <f t="shared" si="0"/>
        <v>391200</v>
      </c>
    </row>
    <row r="30" spans="1:5" x14ac:dyDescent="0.3">
      <c r="B30" s="2">
        <v>7</v>
      </c>
      <c r="C30" s="35" t="s">
        <v>99</v>
      </c>
      <c r="D30" s="45">
        <f>+D146</f>
        <v>52220</v>
      </c>
      <c r="E30" s="59">
        <f t="shared" si="0"/>
        <v>172620</v>
      </c>
    </row>
    <row r="31" spans="1:5" x14ac:dyDescent="0.3">
      <c r="B31" s="2">
        <v>8</v>
      </c>
      <c r="C31" s="35" t="s">
        <v>100</v>
      </c>
      <c r="D31" s="45">
        <f>+D154</f>
        <v>241350</v>
      </c>
      <c r="E31" s="59">
        <f t="shared" si="0"/>
        <v>797850</v>
      </c>
    </row>
    <row r="32" spans="1:5" x14ac:dyDescent="0.3">
      <c r="B32" s="2">
        <v>9</v>
      </c>
      <c r="C32" s="35" t="s">
        <v>101</v>
      </c>
      <c r="D32" s="45">
        <f>+D161</f>
        <v>58240</v>
      </c>
      <c r="E32" s="59">
        <f t="shared" si="0"/>
        <v>192520</v>
      </c>
    </row>
    <row r="33" spans="1:7" x14ac:dyDescent="0.3">
      <c r="B33" s="2">
        <v>10</v>
      </c>
      <c r="C33" s="35" t="s">
        <v>155</v>
      </c>
      <c r="D33" s="53">
        <f>TRUNC(SUM(D24:D32)*0.275,-1)</f>
        <v>643760</v>
      </c>
      <c r="E33" s="60">
        <f t="shared" si="0"/>
        <v>2128140</v>
      </c>
    </row>
    <row r="34" spans="1:7" x14ac:dyDescent="0.3">
      <c r="C34" s="35" t="s">
        <v>112</v>
      </c>
      <c r="D34" s="44">
        <f>SUM(D24:D33)</f>
        <v>2984730</v>
      </c>
      <c r="E34" s="44">
        <f>SUM(E24:E33)</f>
        <v>9866870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TRUNC(127948,-1)</f>
        <v>127940</v>
      </c>
      <c r="E40" s="62">
        <f t="shared" ref="E40:E59" si="1">TRUNC(+D40*3.3058,-1)</f>
        <v>422940</v>
      </c>
    </row>
    <row r="41" spans="1:7" x14ac:dyDescent="0.3">
      <c r="A41" s="2">
        <v>2</v>
      </c>
      <c r="C41" s="38" t="s">
        <v>13</v>
      </c>
      <c r="D41" s="42">
        <f>TRUNC(191986,-1)</f>
        <v>191980</v>
      </c>
      <c r="E41" s="63">
        <f t="shared" si="1"/>
        <v>634640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TRUNC(29436,-1)</f>
        <v>29430</v>
      </c>
      <c r="E43" s="63">
        <f t="shared" si="1"/>
        <v>97280</v>
      </c>
    </row>
    <row r="44" spans="1:7" x14ac:dyDescent="0.3">
      <c r="A44" s="2">
        <v>5</v>
      </c>
      <c r="C44" s="38" t="s">
        <v>17</v>
      </c>
      <c r="D44" s="42">
        <f>TRUNC(34961,-1)</f>
        <v>34960</v>
      </c>
      <c r="E44" s="63">
        <f t="shared" si="1"/>
        <v>115570</v>
      </c>
    </row>
    <row r="45" spans="1:7" x14ac:dyDescent="0.3">
      <c r="A45" s="2">
        <v>6</v>
      </c>
      <c r="C45" s="38" t="s">
        <v>18</v>
      </c>
      <c r="D45" s="42">
        <f>TRUNC(20913,-1)</f>
        <v>20910</v>
      </c>
      <c r="E45" s="63">
        <f t="shared" si="1"/>
        <v>69120</v>
      </c>
    </row>
    <row r="46" spans="1:7" x14ac:dyDescent="0.3">
      <c r="A46" s="2">
        <v>7</v>
      </c>
      <c r="C46" s="38" t="s">
        <v>19</v>
      </c>
      <c r="D46" s="42">
        <f>TRUNC(86278,-1)</f>
        <v>86270</v>
      </c>
      <c r="E46" s="63">
        <f t="shared" si="1"/>
        <v>285190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TRUNC(40544,-1)</f>
        <v>40540</v>
      </c>
      <c r="E48" s="63">
        <f t="shared" si="1"/>
        <v>134010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TRUNC(21656,-1)</f>
        <v>21650</v>
      </c>
      <c r="E49" s="63">
        <f t="shared" si="1"/>
        <v>71570</v>
      </c>
    </row>
    <row r="50" spans="1:7" x14ac:dyDescent="0.3">
      <c r="A50" s="2">
        <v>11</v>
      </c>
      <c r="C50" s="38" t="s">
        <v>156</v>
      </c>
      <c r="D50" s="42">
        <f>TRUNC(44072,-1)</f>
        <v>44070</v>
      </c>
      <c r="E50" s="63">
        <f t="shared" si="1"/>
        <v>145680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TRUNC(18414,-1)</f>
        <v>18410</v>
      </c>
      <c r="E52" s="63">
        <f t="shared" si="1"/>
        <v>60850</v>
      </c>
    </row>
    <row r="53" spans="1:7" x14ac:dyDescent="0.3">
      <c r="A53" s="2">
        <v>14</v>
      </c>
      <c r="C53" s="38" t="s">
        <v>25</v>
      </c>
      <c r="D53" s="42">
        <f>TRUNC(210508,-1)</f>
        <v>210500</v>
      </c>
      <c r="E53" s="63">
        <f t="shared" si="1"/>
        <v>695870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TRUNC(108155+1210+9640-763+3854+65125,-1)</f>
        <v>187220</v>
      </c>
      <c r="E58" s="63">
        <f t="shared" si="1"/>
        <v>618910</v>
      </c>
      <c r="F58" s="2" t="s">
        <v>260</v>
      </c>
    </row>
    <row r="59" spans="1:7" ht="17.25" thickBot="1" x14ac:dyDescent="0.35">
      <c r="A59" s="2">
        <v>20</v>
      </c>
      <c r="C59" s="38" t="s">
        <v>149</v>
      </c>
      <c r="D59" s="43">
        <f>TRUNC(259934,-1)</f>
        <v>259930</v>
      </c>
      <c r="E59" s="64">
        <f t="shared" si="1"/>
        <v>859270</v>
      </c>
    </row>
    <row r="60" spans="1:7" x14ac:dyDescent="0.3">
      <c r="A60" s="2">
        <v>21</v>
      </c>
      <c r="C60" s="27" t="s">
        <v>112</v>
      </c>
      <c r="D60" s="39">
        <f>SUM(D40:D59)</f>
        <v>1273810</v>
      </c>
      <c r="E60" s="39">
        <f>SUM(E40:E59)</f>
        <v>4210900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TRUNC(22887,-1)</f>
        <v>22880</v>
      </c>
      <c r="E63" s="62">
        <f>TRUNC(+D63*3.3058,-1)</f>
        <v>75630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22880</v>
      </c>
      <c r="E66" s="65">
        <f>SUM(E63:E65)</f>
        <v>75630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TRUNC(11889,-1)</f>
        <v>11880</v>
      </c>
      <c r="E69" s="62">
        <f t="shared" ref="E69:E94" si="2">TRUNC(+D69*3.3058,-1)</f>
        <v>39270</v>
      </c>
    </row>
    <row r="70" spans="1:7" ht="16.5" customHeight="1" x14ac:dyDescent="0.3">
      <c r="A70" s="2">
        <v>2</v>
      </c>
      <c r="C70" s="38" t="s">
        <v>31</v>
      </c>
      <c r="D70" s="42">
        <f>TRUNC(501,-1)</f>
        <v>500</v>
      </c>
      <c r="E70" s="63">
        <f t="shared" si="2"/>
        <v>1650</v>
      </c>
    </row>
    <row r="71" spans="1:7" x14ac:dyDescent="0.3">
      <c r="A71" s="2">
        <v>3</v>
      </c>
      <c r="C71" s="38" t="s">
        <v>32</v>
      </c>
      <c r="D71" s="42">
        <f>TRUNC(7775,-1)</f>
        <v>7770</v>
      </c>
      <c r="E71" s="63">
        <f t="shared" si="2"/>
        <v>25680</v>
      </c>
    </row>
    <row r="72" spans="1:7" x14ac:dyDescent="0.3">
      <c r="A72" s="2">
        <v>4</v>
      </c>
      <c r="C72" s="38" t="s">
        <v>33</v>
      </c>
      <c r="D72" s="42">
        <f>TRUNC(17172,-1)</f>
        <v>17170</v>
      </c>
      <c r="E72" s="63">
        <f t="shared" si="2"/>
        <v>56760</v>
      </c>
    </row>
    <row r="73" spans="1:7" x14ac:dyDescent="0.3">
      <c r="A73" s="2">
        <v>5</v>
      </c>
      <c r="C73" s="38" t="s">
        <v>34</v>
      </c>
      <c r="D73" s="42">
        <f>TRUNC(8507,-1)</f>
        <v>8500</v>
      </c>
      <c r="E73" s="63">
        <f t="shared" si="2"/>
        <v>28090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11010</v>
      </c>
      <c r="E89" s="63">
        <f t="shared" si="2"/>
        <v>36390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TRUNC(9921,-1)</f>
        <v>9920</v>
      </c>
      <c r="E91" s="63">
        <f t="shared" si="2"/>
        <v>32790</v>
      </c>
    </row>
    <row r="92" spans="1:7" x14ac:dyDescent="0.3">
      <c r="A92" s="2">
        <v>24</v>
      </c>
      <c r="C92" s="38" t="s">
        <v>38</v>
      </c>
      <c r="D92" s="42">
        <f>TRUNC(11205,-1)</f>
        <v>11200</v>
      </c>
      <c r="E92" s="63">
        <f t="shared" si="2"/>
        <v>37020</v>
      </c>
    </row>
    <row r="93" spans="1:7" x14ac:dyDescent="0.3">
      <c r="A93" s="2">
        <v>25</v>
      </c>
      <c r="C93" s="38" t="s">
        <v>149</v>
      </c>
      <c r="D93" s="42">
        <f>TRUNC(162433,-1)</f>
        <v>162430</v>
      </c>
      <c r="E93" s="63">
        <f t="shared" si="2"/>
        <v>536960</v>
      </c>
    </row>
    <row r="94" spans="1:7" ht="17.25" thickBot="1" x14ac:dyDescent="0.35">
      <c r="A94" s="2">
        <v>26</v>
      </c>
      <c r="C94" s="38" t="s">
        <v>47</v>
      </c>
      <c r="D94" s="43">
        <f>TRUNC(2157,-1)</f>
        <v>2150</v>
      </c>
      <c r="E94" s="64">
        <f t="shared" si="2"/>
        <v>7100</v>
      </c>
      <c r="F94" s="2" t="s">
        <v>261</v>
      </c>
    </row>
    <row r="95" spans="1:7" x14ac:dyDescent="0.3">
      <c r="A95" s="2">
        <v>27</v>
      </c>
      <c r="C95" s="27" t="s">
        <v>112</v>
      </c>
      <c r="D95" s="39">
        <f>SUM(D69:D94)</f>
        <v>242530</v>
      </c>
      <c r="E95" s="39">
        <f>SUM(E69:E94)</f>
        <v>801710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TRUNC(11634,-1)</f>
        <v>11630</v>
      </c>
      <c r="E98" s="62">
        <f t="shared" ref="E98:E118" si="3">TRUNC(+D98*3.3058,-1)</f>
        <v>38440</v>
      </c>
    </row>
    <row r="99" spans="1:7" x14ac:dyDescent="0.3">
      <c r="A99" s="2">
        <v>2</v>
      </c>
      <c r="C99" s="38" t="s">
        <v>40</v>
      </c>
      <c r="D99" s="42">
        <f>TRUNC(11934,-1)</f>
        <v>11930</v>
      </c>
      <c r="E99" s="63">
        <f t="shared" si="3"/>
        <v>39430</v>
      </c>
    </row>
    <row r="100" spans="1:7" x14ac:dyDescent="0.3">
      <c r="A100" s="2">
        <v>3</v>
      </c>
      <c r="C100" s="38" t="s">
        <v>41</v>
      </c>
      <c r="D100" s="42">
        <f>TRUNC(42925,-1)</f>
        <v>42920</v>
      </c>
      <c r="E100" s="63">
        <f t="shared" si="3"/>
        <v>141880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TRUNC(16371,-1)</f>
        <v>16370</v>
      </c>
      <c r="E102" s="63">
        <f t="shared" si="3"/>
        <v>54110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TRUNC(6405,-1)</f>
        <v>6400</v>
      </c>
      <c r="E104" s="63">
        <f t="shared" si="3"/>
        <v>21150</v>
      </c>
    </row>
    <row r="105" spans="1:7" x14ac:dyDescent="0.3">
      <c r="A105" s="2">
        <v>8</v>
      </c>
      <c r="C105" s="38" t="s">
        <v>46</v>
      </c>
      <c r="D105" s="42">
        <f>TRUNC(11529,-1)</f>
        <v>11520</v>
      </c>
      <c r="E105" s="63">
        <f t="shared" si="3"/>
        <v>38080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TRUNC(4529,-1)</f>
        <v>4520</v>
      </c>
      <c r="E114" s="63">
        <f t="shared" si="3"/>
        <v>14940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9020</v>
      </c>
      <c r="E116" s="63">
        <f t="shared" si="3"/>
        <v>29810</v>
      </c>
      <c r="F116" s="2" t="s">
        <v>253</v>
      </c>
    </row>
    <row r="117" spans="1:7" x14ac:dyDescent="0.3">
      <c r="A117" s="2">
        <v>20</v>
      </c>
      <c r="C117" s="38" t="s">
        <v>149</v>
      </c>
      <c r="D117" s="42">
        <f>TRUNC(204476,-1)</f>
        <v>204470</v>
      </c>
      <c r="E117" s="63">
        <f t="shared" si="3"/>
        <v>675930</v>
      </c>
    </row>
    <row r="118" spans="1:7" ht="17.25" thickBot="1" x14ac:dyDescent="0.35">
      <c r="A118" s="2">
        <v>21</v>
      </c>
      <c r="C118" s="38" t="s">
        <v>47</v>
      </c>
      <c r="D118" s="43">
        <f>7473+5347</f>
        <v>12820</v>
      </c>
      <c r="E118" s="64">
        <f t="shared" si="3"/>
        <v>42380</v>
      </c>
      <c r="F118" s="2" t="s">
        <v>262</v>
      </c>
    </row>
    <row r="119" spans="1:7" x14ac:dyDescent="0.3">
      <c r="A119" s="2">
        <v>22</v>
      </c>
      <c r="C119" s="27" t="s">
        <v>112</v>
      </c>
      <c r="D119" s="39">
        <f>SUM(D98:D118)</f>
        <v>331600</v>
      </c>
      <c r="E119" s="39">
        <f>SUM(E98:E118)</f>
        <v>1096150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TRUNC(6698,-1)</f>
        <v>6690</v>
      </c>
      <c r="E122" s="62">
        <f t="shared" ref="E122:E132" si="4">TRUNC(+D122*3.3058,-1)</f>
        <v>22110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TRUNC(979,-1)</f>
        <v>970</v>
      </c>
      <c r="E124" s="63">
        <f t="shared" si="4"/>
        <v>3200</v>
      </c>
    </row>
    <row r="125" spans="1:7" x14ac:dyDescent="0.3">
      <c r="A125" s="2">
        <v>4</v>
      </c>
      <c r="C125" s="38" t="s">
        <v>138</v>
      </c>
      <c r="D125" s="42">
        <f>TRUNC(8854,-1)</f>
        <v>8850</v>
      </c>
      <c r="E125" s="63">
        <f t="shared" si="4"/>
        <v>29250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1750</v>
      </c>
      <c r="E127" s="63">
        <f t="shared" si="4"/>
        <v>5780</v>
      </c>
    </row>
    <row r="128" spans="1:7" x14ac:dyDescent="0.3">
      <c r="A128" s="2">
        <v>7</v>
      </c>
      <c r="C128" s="38" t="s">
        <v>46</v>
      </c>
      <c r="D128" s="42">
        <f>TRUNC(8812,-1)</f>
        <v>8810</v>
      </c>
      <c r="E128" s="63">
        <f t="shared" si="4"/>
        <v>29120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TRUNC(34846,-1)</f>
        <v>34840</v>
      </c>
      <c r="E130" s="63">
        <f t="shared" si="4"/>
        <v>115170</v>
      </c>
    </row>
    <row r="131" spans="1:7" x14ac:dyDescent="0.3">
      <c r="A131" s="2">
        <v>10</v>
      </c>
      <c r="C131" s="38" t="s">
        <v>149</v>
      </c>
      <c r="D131" s="42">
        <f>TRUNC(53152,-1)</f>
        <v>53150</v>
      </c>
      <c r="E131" s="63">
        <f t="shared" si="4"/>
        <v>175700</v>
      </c>
    </row>
    <row r="132" spans="1:7" ht="18" thickBot="1" x14ac:dyDescent="0.35">
      <c r="A132" s="2">
        <v>11</v>
      </c>
      <c r="C132" s="38" t="s">
        <v>47</v>
      </c>
      <c r="D132" s="43">
        <f>TRUNC(3286,-1)</f>
        <v>3280</v>
      </c>
      <c r="E132" s="64">
        <f t="shared" si="4"/>
        <v>10840</v>
      </c>
      <c r="F132" s="54" t="s">
        <v>255</v>
      </c>
    </row>
    <row r="133" spans="1:7" x14ac:dyDescent="0.3">
      <c r="A133" s="2">
        <v>12</v>
      </c>
      <c r="C133" s="27" t="s">
        <v>112</v>
      </c>
      <c r="D133" s="39">
        <f>SUM(D122:D132)</f>
        <v>118340</v>
      </c>
      <c r="E133" s="39">
        <f>SUM(E122:E132)</f>
        <v>391170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f>TRUNC(15539,-1)</f>
        <v>15530</v>
      </c>
      <c r="E138" s="63">
        <f t="shared" si="5"/>
        <v>51330</v>
      </c>
    </row>
    <row r="139" spans="1:7" x14ac:dyDescent="0.3">
      <c r="A139" s="2">
        <v>4</v>
      </c>
      <c r="C139" s="38" t="s">
        <v>61</v>
      </c>
      <c r="D139" s="42">
        <f>TRUNC(479,-1)</f>
        <v>470</v>
      </c>
      <c r="E139" s="63">
        <f t="shared" si="5"/>
        <v>1550</v>
      </c>
    </row>
    <row r="140" spans="1:7" x14ac:dyDescent="0.3">
      <c r="A140" s="2">
        <v>5</v>
      </c>
      <c r="C140" s="38" t="s">
        <v>57</v>
      </c>
      <c r="D140" s="42">
        <f>TRUNC(1964,-1)</f>
        <v>1960</v>
      </c>
      <c r="E140" s="63">
        <f t="shared" si="5"/>
        <v>6470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TRUNC(6885,-1)</f>
        <v>6880</v>
      </c>
      <c r="E142" s="63">
        <f t="shared" si="5"/>
        <v>22740</v>
      </c>
    </row>
    <row r="143" spans="1:7" x14ac:dyDescent="0.3">
      <c r="A143" s="2">
        <v>8</v>
      </c>
      <c r="C143" s="38" t="s">
        <v>62</v>
      </c>
      <c r="D143" s="42">
        <f>TRUNC(5883,-1)</f>
        <v>5880</v>
      </c>
      <c r="E143" s="63">
        <f t="shared" si="5"/>
        <v>19430</v>
      </c>
    </row>
    <row r="144" spans="1:7" x14ac:dyDescent="0.3">
      <c r="A144" s="2">
        <v>9</v>
      </c>
      <c r="C144" s="38" t="s">
        <v>63</v>
      </c>
      <c r="D144" s="42">
        <f>TRUNC(21506,-1)</f>
        <v>21500</v>
      </c>
      <c r="E144" s="63">
        <f t="shared" si="5"/>
        <v>71070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52220</v>
      </c>
      <c r="E146" s="39">
        <f>SUM(E136:E145)</f>
        <v>172590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5752+648</f>
        <v>6400</v>
      </c>
      <c r="E149" s="62">
        <f>TRUNC(+D149*3.3058,-1)</f>
        <v>21150</v>
      </c>
    </row>
    <row r="150" spans="1:7" x14ac:dyDescent="0.3">
      <c r="A150" s="2">
        <v>2</v>
      </c>
      <c r="C150" s="38" t="s">
        <v>49</v>
      </c>
      <c r="D150" s="42">
        <v>4310</v>
      </c>
      <c r="E150" s="63">
        <f>TRUNC(+D150*3.3058,-1)</f>
        <v>14240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TRUNC(462+17205+210465,-1)</f>
        <v>228130</v>
      </c>
      <c r="E152" s="63">
        <f>TRUNC(+D152*3.3058,-1)</f>
        <v>754150</v>
      </c>
      <c r="F152" s="2" t="s">
        <v>263</v>
      </c>
    </row>
    <row r="153" spans="1:7" ht="17.25" thickBot="1" x14ac:dyDescent="0.35">
      <c r="A153" s="2">
        <v>5</v>
      </c>
      <c r="C153" s="38" t="s">
        <v>149</v>
      </c>
      <c r="D153" s="43">
        <f>TRUNC(2513,-1)</f>
        <v>2510</v>
      </c>
      <c r="E153" s="64">
        <f>TRUNC(+D153*3.3058,-1)</f>
        <v>8290</v>
      </c>
    </row>
    <row r="154" spans="1:7" x14ac:dyDescent="0.3">
      <c r="A154" s="2">
        <v>6</v>
      </c>
      <c r="C154" s="27" t="s">
        <v>112</v>
      </c>
      <c r="D154" s="39">
        <f>SUM(D149:D153)</f>
        <v>241350</v>
      </c>
      <c r="E154" s="39">
        <f>SUM(E149:E153)</f>
        <v>797830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TRUNC(34058,-1)</f>
        <v>34050</v>
      </c>
      <c r="E157" s="62">
        <f>TRUNC(+D157*3.3058,-1)</f>
        <v>112560</v>
      </c>
    </row>
    <row r="158" spans="1:7" x14ac:dyDescent="0.3">
      <c r="A158" s="2">
        <v>2</v>
      </c>
      <c r="C158" s="38" t="s">
        <v>52</v>
      </c>
      <c r="D158" s="42">
        <f>TRUNC(16131,-1)</f>
        <v>16130</v>
      </c>
      <c r="E158" s="63">
        <f>TRUNC(+D158*3.3058,-1)</f>
        <v>53320</v>
      </c>
    </row>
    <row r="159" spans="1:7" x14ac:dyDescent="0.3">
      <c r="A159" s="2">
        <v>3</v>
      </c>
      <c r="C159" s="38" t="s">
        <v>47</v>
      </c>
      <c r="D159" s="42">
        <f>TRUNC(7863,-1)</f>
        <v>7860</v>
      </c>
      <c r="E159" s="63">
        <f>TRUNC(+D159*3.3058,-1)</f>
        <v>25980</v>
      </c>
      <c r="F159" s="2" t="s">
        <v>256</v>
      </c>
    </row>
    <row r="160" spans="1:7" ht="17.25" thickBot="1" x14ac:dyDescent="0.35">
      <c r="A160" s="2">
        <v>4</v>
      </c>
      <c r="C160" s="38" t="s">
        <v>149</v>
      </c>
      <c r="D160" s="43">
        <f>TRUNC(207,-1)</f>
        <v>200</v>
      </c>
      <c r="E160" s="64">
        <f>TRUNC(+D160*3.3058,-1)</f>
        <v>660</v>
      </c>
    </row>
    <row r="161" spans="1:5" x14ac:dyDescent="0.3">
      <c r="A161" s="2">
        <v>5</v>
      </c>
      <c r="C161" s="27" t="s">
        <v>112</v>
      </c>
      <c r="D161" s="39">
        <f>SUM(D157:D160)</f>
        <v>58240</v>
      </c>
      <c r="E161" s="39">
        <f>SUM(E157:E160)</f>
        <v>192520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2020-12-08T04:50:45Z</dcterms:modified>
</cp:coreProperties>
</file>