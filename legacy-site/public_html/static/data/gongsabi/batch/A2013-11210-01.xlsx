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3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6" i="4" l="1"/>
  <c r="D137" i="4"/>
  <c r="D125" i="4" l="1"/>
  <c r="D132" i="4"/>
  <c r="D131" i="4"/>
  <c r="D128" i="4"/>
  <c r="D123" i="4"/>
  <c r="D122" i="4"/>
  <c r="D152" i="4"/>
  <c r="D117" i="4"/>
  <c r="D115" i="4"/>
  <c r="D108" i="4"/>
  <c r="D105" i="4"/>
  <c r="D102" i="4"/>
  <c r="D100" i="4"/>
  <c r="D98" i="4"/>
  <c r="D94" i="4"/>
  <c r="D93" i="4"/>
  <c r="D92" i="4"/>
  <c r="D91" i="4"/>
  <c r="D89" i="4"/>
  <c r="D84" i="4"/>
  <c r="D81" i="4"/>
  <c r="D79" i="4"/>
  <c r="D73" i="4"/>
  <c r="D72" i="4"/>
  <c r="D71" i="4"/>
  <c r="D70" i="4"/>
  <c r="D69" i="4"/>
  <c r="D59" i="4"/>
  <c r="D58" i="4"/>
  <c r="D53" i="4"/>
  <c r="D50" i="4"/>
  <c r="D49" i="4"/>
  <c r="D48" i="4"/>
  <c r="D46" i="4"/>
  <c r="D43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54" i="4"/>
  <c r="E161" i="4"/>
  <c r="E133" i="4"/>
  <c r="E119" i="4"/>
  <c r="E95" i="4"/>
  <c r="E146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D34" i="4"/>
  <c r="E34" i="4" l="1"/>
</calcChain>
</file>

<file path=xl/sharedStrings.xml><?xml version="1.0" encoding="utf-8"?>
<sst xmlns="http://schemas.openxmlformats.org/spreadsheetml/2006/main" count="396" uniqueCount="271">
  <si>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</si>
  <si>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</si>
  <si>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</si>
  <si>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</si>
  <si>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</si>
  <si>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</si>
  <si>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</si>
  <si>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</si>
  <si>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</si>
  <si>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</si>
  <si>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</si>
  <si>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</si>
  <si>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</si>
  <si>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</si>
  <si>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</si>
  <si>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</si>
  <si>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</si>
  <si>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</si>
  <si>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</si>
  <si>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</si>
  <si>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</si>
  <si>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</si>
  <si>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</si>
  <si>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</si>
  <si>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</si>
  <si>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</si>
  <si>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</si>
  <si>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</si>
  <si>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</si>
  <si>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</si>
  <si>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</si>
  <si>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</si>
  <si>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</si>
  <si>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</si>
  <si>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</si>
  <si>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</si>
  <si>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</si>
  <si>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</si>
  <si>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</si>
  <si>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</si>
  <si>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</si>
  <si>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</si>
  <si>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</si>
  <si>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</si>
  <si>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</si>
  <si>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</si>
  <si>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</si>
  <si>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</si>
  <si>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</si>
  <si>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</si>
  <si>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</si>
  <si>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</si>
  <si>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</si>
  <si>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</si>
  <si>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</si>
  <si>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</si>
  <si>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</si>
  <si>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</si>
  <si>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</si>
  <si>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</si>
  <si>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</si>
  <si>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</si>
  <si>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</si>
  <si>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</si>
  <si>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</si>
  <si>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</si>
  <si>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</si>
  <si>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</si>
  <si>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</si>
  <si>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</si>
  <si>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</si>
  <si>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</si>
  <si>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</si>
  <si>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</si>
  <si>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</si>
  <si>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</si>
  <si>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</si>
  <si>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</si>
  <si>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</si>
  <si>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</si>
  <si>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</si>
  <si>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</si>
  <si>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</si>
  <si>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</si>
  <si>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</si>
  <si>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</si>
  <si>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</si>
  <si>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</si>
  <si>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</si>
  <si>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</si>
  <si>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</si>
  <si>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</si>
  <si>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</si>
  <si>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</si>
  <si>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</si>
  <si>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</si>
  <si>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</si>
  <si>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</si>
  <si>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</si>
  <si>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</si>
  <si>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</si>
  <si>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</si>
  <si>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</si>
  <si>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</si>
  <si>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</si>
  <si>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</si>
  <si>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</si>
  <si>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</si>
  <si>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</si>
  <si>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</si>
  <si>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</si>
  <si>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</si>
  <si>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</si>
  <si>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</si>
  <si>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</si>
  <si>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</si>
  <si>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</si>
  <si>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</si>
  <si>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</si>
  <si>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</si>
  <si>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</si>
  <si>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</si>
  <si>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</si>
  <si>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</si>
  <si>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</si>
  <si>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</si>
  <si>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</si>
  <si>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</si>
  <si>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</si>
  <si>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</si>
  <si>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</si>
  <si>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</si>
  <si>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</si>
  <si>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</si>
  <si>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</si>
  <si>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</si>
  <si>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</si>
  <si>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</si>
  <si>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</si>
  <si>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</si>
  <si>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</si>
  <si>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</si>
  <si>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</si>
  <si>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</si>
  <si>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</si>
  <si>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</si>
  <si>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</si>
  <si>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</si>
  <si>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</si>
  <si>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</si>
  <si>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</si>
  <si>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</si>
  <si>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</si>
  <si>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</si>
  <si>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</si>
  <si>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</si>
  <si>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</si>
  <si>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</si>
  <si>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</si>
  <si>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</si>
  <si>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</si>
  <si>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</si>
  <si>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</si>
  <si>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</si>
  <si>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</si>
  <si>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</si>
  <si>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</si>
  <si>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</si>
  <si>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</si>
  <si>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</si>
  <si>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</si>
  <si>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</si>
  <si>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</si>
  <si>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</si>
  <si>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</si>
  <si>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</si>
  <si>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</si>
  <si>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</si>
  <si>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</si>
  <si>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</si>
  <si>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</si>
  <si>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</si>
  <si>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</si>
  <si>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</si>
  <si>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</si>
  <si>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</si>
  <si>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</si>
  <si>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</si>
  <si>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</si>
  <si>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</si>
  <si>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</si>
  <si>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</si>
  <si>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</si>
  <si>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</si>
  <si>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</si>
  <si>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</si>
  <si>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</si>
  <si>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</si>
  <si>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</si>
  <si>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</si>
  <si>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</si>
  <si>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</si>
  <si>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</si>
  <si>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</si>
  <si>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</si>
  <si>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</si>
  <si>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</si>
  <si>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</si>
  <si>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</si>
  <si>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</si>
  <si>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</si>
  <si>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</si>
  <si>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</si>
  <si>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</si>
  <si>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</si>
  <si>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</si>
  <si>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</si>
  <si>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</si>
  <si>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</si>
  <si>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</si>
  <si>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</si>
  <si>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</si>
  <si>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</si>
  <si>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</si>
  <si>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</si>
  <si>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</si>
  <si>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</si>
  <si>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</si>
  <si>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</si>
  <si>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</si>
  <si>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</si>
  <si>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</si>
  <si>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</si>
  <si>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</si>
  <si>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</si>
  <si>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</si>
  <si>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</si>
  <si>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</si>
  <si>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</si>
  <si>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</si>
  <si>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</si>
  <si>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</si>
  <si>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</si>
  <si>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</si>
  <si>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</si>
  <si>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</si>
  <si>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</si>
  <si>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</si>
  <si>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00마이스터고 기숙사 신축공사</t>
    <phoneticPr fontId="2" type="noConversion"/>
  </si>
  <si>
    <t>교육연구</t>
  </si>
  <si>
    <t>강원도</t>
  </si>
  <si>
    <t>기초·파일공사,기타공사,철거공사,폐기물상차비</t>
    <phoneticPr fontId="2" type="noConversion"/>
  </si>
  <si>
    <t>타일·돌공사</t>
    <phoneticPr fontId="2" type="noConversion"/>
  </si>
  <si>
    <t>천정·금속공사</t>
    <phoneticPr fontId="2" type="noConversion"/>
  </si>
  <si>
    <t>미장·방수공사</t>
    <phoneticPr fontId="2" type="noConversion"/>
  </si>
  <si>
    <t>목·창호공사</t>
    <phoneticPr fontId="2" type="noConversion"/>
  </si>
  <si>
    <t>도장·수장공사</t>
    <phoneticPr fontId="2" type="noConversion"/>
  </si>
  <si>
    <t>환기설비공사</t>
    <phoneticPr fontId="2" type="noConversion"/>
  </si>
  <si>
    <t>가대설치공사</t>
    <phoneticPr fontId="2" type="noConversion"/>
  </si>
  <si>
    <t>냉난방전원설비공사,바닥난방전원설비공사</t>
    <phoneticPr fontId="2" type="noConversion"/>
  </si>
  <si>
    <t>전열및동력설비공사</t>
    <phoneticPr fontId="2" type="noConversion"/>
  </si>
  <si>
    <t>토목조경공사</t>
    <phoneticPr fontId="2" type="noConversion"/>
  </si>
  <si>
    <t>전화및LAN설비공사</t>
    <phoneticPr fontId="2" type="noConversion"/>
  </si>
  <si>
    <t>전관방송설비공사</t>
    <phoneticPr fontId="2" type="noConversion"/>
  </si>
  <si>
    <t>인터폰설비공사,CCTV설비공사</t>
    <phoneticPr fontId="2" type="noConversion"/>
  </si>
  <si>
    <t>전기 소방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</si>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</sst>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268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topLeftCell="A10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4213</v>
      </c>
      <c r="D7" s="36">
        <f>+C7/3.3058</f>
        <v>1274.4267650795571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199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269</v>
      </c>
    </row>
    <row r="19" spans="1:5" x14ac:dyDescent="0.3">
      <c r="A19" s="2">
        <v>9</v>
      </c>
      <c r="B19" s="2" t="s">
        <v>270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1026920</v>
      </c>
      <c r="E25" s="59">
        <f t="shared" si="0"/>
        <v>3394790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190530</v>
      </c>
      <c r="E27" s="59">
        <f t="shared" si="0"/>
        <v>629850</v>
      </c>
    </row>
    <row r="28" spans="1:5" x14ac:dyDescent="0.3">
      <c r="B28" s="2">
        <v>5</v>
      </c>
      <c r="C28" s="35" t="s">
        <v>97</v>
      </c>
      <c r="D28" s="45">
        <f>+D119</f>
        <v>168730</v>
      </c>
      <c r="E28" s="59">
        <f t="shared" si="0"/>
        <v>557780</v>
      </c>
    </row>
    <row r="29" spans="1:5" x14ac:dyDescent="0.3">
      <c r="B29" s="2">
        <v>6</v>
      </c>
      <c r="C29" s="35" t="s">
        <v>98</v>
      </c>
      <c r="D29" s="45">
        <f>+D133</f>
        <v>39530</v>
      </c>
      <c r="E29" s="59">
        <f t="shared" si="0"/>
        <v>130670</v>
      </c>
    </row>
    <row r="30" spans="1:5" x14ac:dyDescent="0.3">
      <c r="B30" s="2">
        <v>7</v>
      </c>
      <c r="C30" s="35" t="s">
        <v>99</v>
      </c>
      <c r="D30" s="45">
        <f>+D146</f>
        <v>17410</v>
      </c>
      <c r="E30" s="59">
        <f t="shared" si="0"/>
        <v>57550</v>
      </c>
    </row>
    <row r="31" spans="1:5" x14ac:dyDescent="0.3">
      <c r="B31" s="2">
        <v>8</v>
      </c>
      <c r="C31" s="35" t="s">
        <v>100</v>
      </c>
      <c r="D31" s="45">
        <f>+D154</f>
        <v>59210</v>
      </c>
      <c r="E31" s="59">
        <f t="shared" si="0"/>
        <v>195730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413140</v>
      </c>
      <c r="E33" s="60">
        <f t="shared" si="0"/>
        <v>1365750</v>
      </c>
    </row>
    <row r="34" spans="1:7" x14ac:dyDescent="0.3">
      <c r="C34" s="35" t="s">
        <v>112</v>
      </c>
      <c r="D34" s="44">
        <f>SUM(D24:D33)</f>
        <v>1915470</v>
      </c>
      <c r="E34" s="44">
        <f>SUM(E24:E33)</f>
        <v>6332120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266</v>
      </c>
      <c r="E39" s="67" t="s">
        <v>267</v>
      </c>
      <c r="G39" s="68"/>
    </row>
    <row r="40" spans="1:7" x14ac:dyDescent="0.3">
      <c r="A40" s="2">
        <v>1</v>
      </c>
      <c r="C40" s="38" t="s">
        <v>15</v>
      </c>
      <c r="D40" s="40">
        <f>TRUNC(30404,-1)</f>
        <v>30400</v>
      </c>
      <c r="E40" s="62">
        <f t="shared" ref="E40:E59" si="1">TRUNC(+D40*3.3058,-1)</f>
        <v>100490</v>
      </c>
    </row>
    <row r="41" spans="1:7" x14ac:dyDescent="0.3">
      <c r="A41" s="2">
        <v>2</v>
      </c>
      <c r="C41" s="38" t="s">
        <v>13</v>
      </c>
      <c r="D41" s="42">
        <f>TRUNC(129923,-1)</f>
        <v>129920</v>
      </c>
      <c r="E41" s="63">
        <f t="shared" si="1"/>
        <v>429480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TRUNC(45236,-1)</f>
        <v>45230</v>
      </c>
      <c r="E43" s="63">
        <f t="shared" si="1"/>
        <v>149520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f>TRUNC(40711,-1)</f>
        <v>40710</v>
      </c>
      <c r="E46" s="63">
        <f t="shared" si="1"/>
        <v>134570</v>
      </c>
      <c r="F46" s="2" t="s">
        <v>252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TRUNC(52372,-1)</f>
        <v>52370</v>
      </c>
      <c r="E48" s="63">
        <f t="shared" si="1"/>
        <v>173120</v>
      </c>
      <c r="F48" s="2" t="s">
        <v>253</v>
      </c>
    </row>
    <row r="49" spans="1:7" x14ac:dyDescent="0.3">
      <c r="A49" s="2">
        <v>10</v>
      </c>
      <c r="C49" s="38" t="s">
        <v>22</v>
      </c>
      <c r="D49" s="42">
        <f>TRUNC(58156,-1)</f>
        <v>58150</v>
      </c>
      <c r="E49" s="63">
        <f t="shared" si="1"/>
        <v>192230</v>
      </c>
      <c r="F49" s="2" t="s">
        <v>254</v>
      </c>
    </row>
    <row r="50" spans="1:7" x14ac:dyDescent="0.3">
      <c r="A50" s="2">
        <v>11</v>
      </c>
      <c r="C50" s="38" t="s">
        <v>155</v>
      </c>
      <c r="D50" s="42">
        <f>TRUNC(40052,-1)</f>
        <v>40050</v>
      </c>
      <c r="E50" s="63">
        <f t="shared" si="1"/>
        <v>132390</v>
      </c>
      <c r="F50" s="2" t="s">
        <v>255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f>TRUNC(35879,-1)</f>
        <v>35870</v>
      </c>
      <c r="E53" s="63">
        <f t="shared" si="1"/>
        <v>118570</v>
      </c>
      <c r="F53" s="2" t="s">
        <v>256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TRUNC(44734+15788+1128+231,-1)</f>
        <v>61880</v>
      </c>
      <c r="E58" s="63">
        <f t="shared" si="1"/>
        <v>204560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TRUNC(532346,-1)</f>
        <v>532340</v>
      </c>
      <c r="E59" s="64">
        <f t="shared" si="1"/>
        <v>1759800</v>
      </c>
    </row>
    <row r="60" spans="1:7" x14ac:dyDescent="0.3">
      <c r="A60" s="2">
        <v>21</v>
      </c>
      <c r="C60" s="27" t="s">
        <v>112</v>
      </c>
      <c r="D60" s="39">
        <f>SUM(D40:D59)</f>
        <v>1026920</v>
      </c>
      <c r="E60" s="39">
        <f>SUM(E40:E59)</f>
        <v>3394730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TRUNC(13013,-1)</f>
        <v>13010</v>
      </c>
      <c r="E69" s="62">
        <f t="shared" ref="E69:E94" si="2">TRUNC(+D69*3.3058,-1)</f>
        <v>43000</v>
      </c>
    </row>
    <row r="70" spans="1:7" ht="16.5" customHeight="1" x14ac:dyDescent="0.3">
      <c r="A70" s="2">
        <v>2</v>
      </c>
      <c r="C70" s="38" t="s">
        <v>31</v>
      </c>
      <c r="D70" s="42">
        <f>TRUNC(219,-1)</f>
        <v>210</v>
      </c>
      <c r="E70" s="63">
        <f t="shared" si="2"/>
        <v>690</v>
      </c>
    </row>
    <row r="71" spans="1:7" x14ac:dyDescent="0.3">
      <c r="A71" s="2">
        <v>3</v>
      </c>
      <c r="C71" s="38" t="s">
        <v>32</v>
      </c>
      <c r="D71" s="42">
        <f>TRUNC(6306,-1)</f>
        <v>6300</v>
      </c>
      <c r="E71" s="63">
        <f t="shared" si="2"/>
        <v>20820</v>
      </c>
    </row>
    <row r="72" spans="1:7" x14ac:dyDescent="0.3">
      <c r="A72" s="2">
        <v>4</v>
      </c>
      <c r="C72" s="38" t="s">
        <v>33</v>
      </c>
      <c r="D72" s="42">
        <f>TRUNC(2229,-1)</f>
        <v>2220</v>
      </c>
      <c r="E72" s="63">
        <f t="shared" si="2"/>
        <v>7330</v>
      </c>
    </row>
    <row r="73" spans="1:7" x14ac:dyDescent="0.3">
      <c r="A73" s="2">
        <v>5</v>
      </c>
      <c r="C73" s="38" t="s">
        <v>34</v>
      </c>
      <c r="D73" s="42">
        <f>TRUNC(25147,-1)</f>
        <v>25140</v>
      </c>
      <c r="E73" s="63">
        <f t="shared" si="2"/>
        <v>83100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TRUNC(5498,-1)</f>
        <v>5490</v>
      </c>
      <c r="E79" s="63">
        <f t="shared" si="2"/>
        <v>18140</v>
      </c>
      <c r="F79" s="2" t="s">
        <v>257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f>TRUNC(7092,-1)</f>
        <v>7090</v>
      </c>
      <c r="E81" s="63">
        <f t="shared" si="2"/>
        <v>23430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TRUNC(1561,-1)</f>
        <v>1560</v>
      </c>
      <c r="E84" s="63">
        <f t="shared" si="2"/>
        <v>5150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TRUNC(15696,-1)</f>
        <v>15690</v>
      </c>
      <c r="E89" s="63">
        <f t="shared" si="2"/>
        <v>51860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TRUNC(3730,-1)</f>
        <v>3730</v>
      </c>
      <c r="E91" s="63">
        <f t="shared" si="2"/>
        <v>12330</v>
      </c>
    </row>
    <row r="92" spans="1:7" x14ac:dyDescent="0.3">
      <c r="A92" s="2">
        <v>24</v>
      </c>
      <c r="C92" s="38" t="s">
        <v>38</v>
      </c>
      <c r="D92" s="42">
        <f>TRUNC(25660,-1)</f>
        <v>25660</v>
      </c>
      <c r="E92" s="63">
        <f t="shared" si="2"/>
        <v>84820</v>
      </c>
    </row>
    <row r="93" spans="1:7" x14ac:dyDescent="0.3">
      <c r="A93" s="2">
        <v>25</v>
      </c>
      <c r="C93" s="38" t="s">
        <v>148</v>
      </c>
      <c r="D93" s="42">
        <f>TRUNC(83768,-1)</f>
        <v>83760</v>
      </c>
      <c r="E93" s="63">
        <f t="shared" si="2"/>
        <v>276890</v>
      </c>
    </row>
    <row r="94" spans="1:7" ht="17.25" thickBot="1" x14ac:dyDescent="0.35">
      <c r="A94" s="2">
        <v>26</v>
      </c>
      <c r="C94" s="38" t="s">
        <v>47</v>
      </c>
      <c r="D94" s="43">
        <f>TRUNC(674,-1)</f>
        <v>670</v>
      </c>
      <c r="E94" s="64">
        <f t="shared" si="2"/>
        <v>2210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190530</v>
      </c>
      <c r="E95" s="39">
        <f>SUM(E69:E94)</f>
        <v>629770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TRUNC(19207,-1)</f>
        <v>19200</v>
      </c>
      <c r="E98" s="62">
        <f t="shared" ref="E98:E118" si="3">TRUNC(+D98*3.3058,-1)</f>
        <v>63470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TRUNC(23738,-1)</f>
        <v>23730</v>
      </c>
      <c r="E100" s="63">
        <f t="shared" si="3"/>
        <v>78440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TRUNC(14845,-1)</f>
        <v>14840</v>
      </c>
      <c r="E102" s="63">
        <f t="shared" si="3"/>
        <v>49050</v>
      </c>
      <c r="F102" s="2" t="s">
        <v>260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f>TRUNC(5182,-1)</f>
        <v>5180</v>
      </c>
      <c r="E105" s="63">
        <f t="shared" si="3"/>
        <v>17120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TRUNC(2265+2485,-1)</f>
        <v>4750</v>
      </c>
      <c r="E108" s="63">
        <f t="shared" si="3"/>
        <v>15700</v>
      </c>
      <c r="F108" s="2" t="s">
        <v>259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f>TRUNC(2680,-1)</f>
        <v>2680</v>
      </c>
      <c r="E115" s="63">
        <f t="shared" si="3"/>
        <v>8850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TRUNC(98358,-1)</f>
        <v>98350</v>
      </c>
      <c r="E117" s="63">
        <f t="shared" si="3"/>
        <v>325120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168730</v>
      </c>
      <c r="E119" s="39">
        <f>SUM(E98:E118)</f>
        <v>557750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TRUNC(1193,-1)</f>
        <v>1190</v>
      </c>
      <c r="E122" s="62">
        <f t="shared" ref="E122:E132" si="4">TRUNC(+D122*3.3058,-1)</f>
        <v>3930</v>
      </c>
    </row>
    <row r="123" spans="1:7" x14ac:dyDescent="0.3">
      <c r="A123" s="2">
        <v>2</v>
      </c>
      <c r="C123" s="38" t="s">
        <v>124</v>
      </c>
      <c r="D123" s="42">
        <f>TRUNC(8499,-1)</f>
        <v>8490</v>
      </c>
      <c r="E123" s="63">
        <f t="shared" si="4"/>
        <v>28060</v>
      </c>
      <c r="F123" s="2" t="s">
        <v>262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TRUNC(5877,-1)</f>
        <v>5870</v>
      </c>
      <c r="E125" s="63">
        <f t="shared" si="4"/>
        <v>19400</v>
      </c>
      <c r="F125" s="2" t="s">
        <v>263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TRUNC(3181,-1)</f>
        <v>3180</v>
      </c>
      <c r="E128" s="63">
        <f t="shared" si="4"/>
        <v>10510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TRUNC(18192,-1)</f>
        <v>18190</v>
      </c>
      <c r="E131" s="63">
        <f t="shared" si="4"/>
        <v>60130</v>
      </c>
    </row>
    <row r="132" spans="1:7" ht="18" thickBot="1" x14ac:dyDescent="0.35">
      <c r="A132" s="2">
        <v>11</v>
      </c>
      <c r="C132" s="38" t="s">
        <v>47</v>
      </c>
      <c r="D132" s="43">
        <f>TRUNC(1906+706,-1)</f>
        <v>2610</v>
      </c>
      <c r="E132" s="64">
        <f t="shared" si="4"/>
        <v>8620</v>
      </c>
      <c r="F132" s="54" t="s">
        <v>264</v>
      </c>
    </row>
    <row r="133" spans="1:7" x14ac:dyDescent="0.3">
      <c r="A133" s="2">
        <v>12</v>
      </c>
      <c r="C133" s="27" t="s">
        <v>112</v>
      </c>
      <c r="D133" s="39">
        <f>SUM(D122:D132)</f>
        <v>39530</v>
      </c>
      <c r="E133" s="39">
        <f>SUM(E122:E132)</f>
        <v>130650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TRUNC(10239,-1)</f>
        <v>10230</v>
      </c>
      <c r="E136" s="62">
        <f t="shared" ref="E136:E145" si="5">TRUNC(+D136*3.3058,-1)</f>
        <v>33810</v>
      </c>
    </row>
    <row r="137" spans="1:7" x14ac:dyDescent="0.3">
      <c r="A137" s="2">
        <v>2</v>
      </c>
      <c r="C137" s="38" t="s">
        <v>47</v>
      </c>
      <c r="D137" s="42">
        <f>TRUNC(7184,-1)</f>
        <v>7180</v>
      </c>
      <c r="E137" s="63">
        <f t="shared" si="5"/>
        <v>23730</v>
      </c>
      <c r="F137" s="2" t="s">
        <v>265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17410</v>
      </c>
      <c r="E146" s="39">
        <f>SUM(E136:E145)</f>
        <v>57540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TRUNC(59216,-1)</f>
        <v>59210</v>
      </c>
      <c r="E152" s="63">
        <f>TRUNC(+D152*3.3058,-1)</f>
        <v>195730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59210</v>
      </c>
      <c r="E154" s="39">
        <f>SUM(E149:E153)</f>
        <v>195730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2020-12-07T09:35:48Z</dcterms:modified>
</cp:coreProperties>
</file>