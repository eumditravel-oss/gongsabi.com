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17" i="4" l="1"/>
  <c r="D9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76" i="4"/>
  <c r="D92" i="4"/>
  <c r="D91" i="4"/>
  <c r="D89" i="4"/>
  <c r="D73" i="4"/>
  <c r="D72" i="4"/>
  <c r="D71" i="4"/>
  <c r="D69" i="4"/>
  <c r="D114" i="4"/>
  <c r="D118" i="4"/>
  <c r="D100" i="4"/>
  <c r="D99" i="4"/>
  <c r="D98" i="4"/>
  <c r="D116" i="4"/>
  <c r="D105" i="4"/>
  <c r="D104" i="4"/>
  <c r="D102" i="4"/>
  <c r="D128" i="4"/>
  <c r="D127" i="4"/>
  <c r="D125" i="4"/>
  <c r="D122" i="4"/>
  <c r="D130" i="4"/>
  <c r="D126" i="4"/>
  <c r="D139" i="4"/>
  <c r="D137" i="4"/>
  <c r="D142" i="4"/>
  <c r="D140" i="4"/>
  <c r="D65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95" i="4"/>
  <c r="E119" i="4"/>
  <c r="E133" i="4"/>
  <c r="E146" i="4"/>
  <c r="E66" i="4"/>
  <c r="E154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<sst xmlns="http://schemas.openxmlformats.org/spreadsheetml/2006/main" count="394" uniqueCount="269">
  <si>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</si>
  <si>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</si>
  <si>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</si>
  <si>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</si>
  <si>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</si>
  <si>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</si>
  <si>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</si>
  <si>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</si>
  <si>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</si>
  <si>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</si>
  <si>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</si>
  <si>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</si>
  <si>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</si>
  <si>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</si>
  <si>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</si>
  <si>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</si>
  <si>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</si>
  <si>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</si>
  <si>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</si>
  <si>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</si>
  <si>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</si>
  <si>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</si>
  <si>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</si>
  <si>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</si>
  <si>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</si>
  <si>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</si>
  <si>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</si>
  <si>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</si>
  <si>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</si>
  <si>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</si>
  <si>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</si>
  <si>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</si>
  <si>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</si>
  <si>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</si>
  <si>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</si>
  <si>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</si>
  <si>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</si>
  <si>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</si>
  <si>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</si>
  <si>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</si>
  <si>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</si>
  <si>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</si>
  <si>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</si>
  <si>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</si>
  <si>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</si>
  <si>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</si>
  <si>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</si>
  <si>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</si>
  <si>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</si>
  <si>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</si>
  <si>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</si>
  <si>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</si>
  <si>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</si>
  <si>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</si>
  <si>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</si>
  <si>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</si>
  <si>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</si>
  <si>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</si>
  <si>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</si>
  <si>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</si>
  <si>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</si>
  <si>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</si>
  <si>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</si>
  <si>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</si>
  <si>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</si>
  <si>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</si>
  <si>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</si>
  <si>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</si>
  <si>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</si>
  <si>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</si>
  <si>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</si>
  <si>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</si>
  <si>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</si>
  <si>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</si>
  <si>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</si>
  <si>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</si>
  <si>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</si>
  <si>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</si>
  <si>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</si>
  <si>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</si>
  <si>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</si>
  <si>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</si>
  <si>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</si>
  <si>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</si>
  <si>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</si>
  <si>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</si>
  <si>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</si>
  <si>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</si>
  <si>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</si>
  <si>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</si>
  <si>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</si>
  <si>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</si>
  <si>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</si>
  <si>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</si>
  <si>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</si>
  <si>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</si>
  <si>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</si>
  <si>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</si>
  <si>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</si>
  <si>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</si>
  <si>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</si>
  <si>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</si>
  <si>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</si>
  <si>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</si>
  <si>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</si>
  <si>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</si>
  <si>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</si>
  <si>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</si>
  <si>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</si>
  <si>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</si>
  <si>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</si>
  <si>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</si>
  <si>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</si>
  <si>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</si>
  <si>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</si>
  <si>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</si>
  <si>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</si>
  <si>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</si>
  <si>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</si>
  <si>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</si>
  <si>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</si>
  <si>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</si>
  <si>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</si>
  <si>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</si>
  <si>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</si>
  <si>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</si>
  <si>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</si>
  <si>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</si>
  <si>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</si>
  <si>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</si>
  <si>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</si>
  <si>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</si>
  <si>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</si>
  <si>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</si>
  <si>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</si>
  <si>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</si>
  <si>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</si>
  <si>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</si>
  <si>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</si>
  <si>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</si>
  <si>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</si>
  <si>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</si>
  <si>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</si>
  <si>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</si>
  <si>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</si>
  <si>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</si>
  <si>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</si>
  <si>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</si>
  <si>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</si>
  <si>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</si>
  <si>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</si>
  <si>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</si>
  <si>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</si>
  <si>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</si>
  <si>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</si>
  <si>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</si>
  <si>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</si>
  <si>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</si>
  <si>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</si>
  <si>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</si>
  <si>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</si>
  <si>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</si>
  <si>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</si>
  <si>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</si>
  <si>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</si>
  <si>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</si>
  <si>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</si>
  <si>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</si>
  <si>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</si>
  <si>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</si>
  <si>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</si>
  <si>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</si>
  <si>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</si>
  <si>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</si>
  <si>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</si>
  <si>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</si>
  <si>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</si>
  <si>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</si>
  <si>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</si>
  <si>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</si>
  <si>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</si>
  <si>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</si>
  <si>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</si>
  <si>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</si>
  <si>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</si>
  <si>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</si>
  <si>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</si>
  <si>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</si>
  <si>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</si>
  <si>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</si>
  <si>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</si>
  <si>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</si>
  <si>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</si>
  <si>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</si>
  <si>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</si>
  <si>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</si>
  <si>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</si>
  <si>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</si>
  <si>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</si>
  <si>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</si>
  <si>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</si>
  <si>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</si>
  <si>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</si>
  <si>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</si>
  <si>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</si>
  <si>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</si>
  <si>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</si>
  <si>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</si>
  <si>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</si>
  <si>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</si>
  <si>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</si>
  <si>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</si>
  <si>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</si>
  <si>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</si>
  <si>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</si>
  <si>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</si>
  <si>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</si>
  <si>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</si>
  <si>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</si>
  <si>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</si>
  <si>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</si>
  <si>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</si>
  <si>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</si>
  <si>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</si>
  <si>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</si>
  <si>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</si>
  <si>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</si>
  <si>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</si>
  <si>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</si>
  <si>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</si>
  <si>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</si>
  <si>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</si>
  <si>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</si>
  <si>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</si>
  <si>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</si>
  <si>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</si>
  <si>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</si>
  <si>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</si>
  <si>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</si>
  <si>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</si>
  <si>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</si>
  <si>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</si>
  <si>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</si>
  <si>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</si>
  <si>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</si>
  <si>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</si>
  <si>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</si>
  <si>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</si>
  <si>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한경대학교 친환경농업연구센터 신축공사</t>
    <phoneticPr fontId="2" type="noConversion"/>
  </si>
  <si>
    <t>교육연구</t>
  </si>
  <si>
    <t>경기도</t>
  </si>
  <si>
    <t>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</si>
  <si>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</si>
  <si>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</si>
  <si>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</si>
  <si>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바닥난방공사</t>
    <phoneticPr fontId="2" type="noConversion"/>
  </si>
  <si>
    <t>전기인입 및 수변전 설비공사</t>
    <phoneticPr fontId="2" type="noConversion"/>
  </si>
  <si>
    <t>원격검침 설비공사</t>
    <phoneticPr fontId="2" type="noConversion"/>
  </si>
  <si>
    <t>CATV 및 TV 설비공사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</si>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</sst>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4339.04</v>
      </c>
      <c r="D7" s="36">
        <f>+C7/3.3058</f>
        <v>1312.5536935083792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748920</v>
      </c>
      <c r="E25" s="59">
        <f t="shared" si="0"/>
        <v>2475770</v>
      </c>
    </row>
    <row r="26" spans="1:5" x14ac:dyDescent="0.3">
      <c r="B26" s="2">
        <v>3</v>
      </c>
      <c r="C26" s="35" t="s">
        <v>95</v>
      </c>
      <c r="D26" s="45">
        <f>+D66</f>
        <v>32100</v>
      </c>
      <c r="E26" s="59">
        <f t="shared" si="0"/>
        <v>106110</v>
      </c>
    </row>
    <row r="27" spans="1:5" x14ac:dyDescent="0.3">
      <c r="B27" s="2">
        <v>4</v>
      </c>
      <c r="C27" s="35" t="s">
        <v>96</v>
      </c>
      <c r="D27" s="45">
        <f>+D95</f>
        <v>293680</v>
      </c>
      <c r="E27" s="59">
        <f t="shared" si="0"/>
        <v>970840</v>
      </c>
    </row>
    <row r="28" spans="1:5" x14ac:dyDescent="0.3">
      <c r="B28" s="2">
        <v>5</v>
      </c>
      <c r="C28" s="35" t="s">
        <v>97</v>
      </c>
      <c r="D28" s="45">
        <f>+D119</f>
        <v>214440</v>
      </c>
      <c r="E28" s="59">
        <f t="shared" si="0"/>
        <v>708890</v>
      </c>
    </row>
    <row r="29" spans="1:5" x14ac:dyDescent="0.3">
      <c r="B29" s="2">
        <v>6</v>
      </c>
      <c r="C29" s="35" t="s">
        <v>98</v>
      </c>
      <c r="D29" s="45">
        <f>+D133</f>
        <v>22710</v>
      </c>
      <c r="E29" s="59">
        <f t="shared" si="0"/>
        <v>75070</v>
      </c>
    </row>
    <row r="30" spans="1:5" x14ac:dyDescent="0.3">
      <c r="B30" s="2">
        <v>7</v>
      </c>
      <c r="C30" s="35" t="s">
        <v>99</v>
      </c>
      <c r="D30" s="45">
        <f>+D146</f>
        <v>29500</v>
      </c>
      <c r="E30" s="59">
        <f t="shared" si="0"/>
        <v>97520</v>
      </c>
    </row>
    <row r="31" spans="1:5" x14ac:dyDescent="0.3">
      <c r="B31" s="2">
        <v>8</v>
      </c>
      <c r="C31" s="35" t="s">
        <v>100</v>
      </c>
      <c r="D31" s="45">
        <f>+D154</f>
        <v>49730</v>
      </c>
      <c r="E31" s="59">
        <f t="shared" si="0"/>
        <v>164390</v>
      </c>
    </row>
    <row r="32" spans="1:5" x14ac:dyDescent="0.3">
      <c r="B32" s="2">
        <v>9</v>
      </c>
      <c r="C32" s="35" t="s">
        <v>101</v>
      </c>
      <c r="D32" s="45">
        <f>+D161</f>
        <v>58730</v>
      </c>
      <c r="E32" s="59">
        <f t="shared" si="0"/>
        <v>194140</v>
      </c>
    </row>
    <row r="33" spans="1:7" x14ac:dyDescent="0.3">
      <c r="B33" s="2">
        <v>10</v>
      </c>
      <c r="C33" s="35" t="s">
        <v>154</v>
      </c>
      <c r="D33" s="53">
        <f>TRUNC(SUM(D24:D32)*0.275,-1)</f>
        <v>398690</v>
      </c>
      <c r="E33" s="60">
        <f t="shared" si="0"/>
        <v>1317980</v>
      </c>
    </row>
    <row r="34" spans="1:7" x14ac:dyDescent="0.3">
      <c r="C34" s="35" t="s">
        <v>112</v>
      </c>
      <c r="D34" s="44">
        <f>SUM(D24:D33)</f>
        <v>1848500</v>
      </c>
      <c r="E34" s="44">
        <f>SUM(E24:E33)</f>
        <v>6110710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TRUNC(54338,-1)</f>
        <v>54330</v>
      </c>
      <c r="E40" s="62">
        <f t="shared" ref="E40:E59" si="1">TRUNC(+D40*3.3058,-1)</f>
        <v>179600</v>
      </c>
    </row>
    <row r="41" spans="1:7" x14ac:dyDescent="0.3">
      <c r="A41" s="2">
        <v>2</v>
      </c>
      <c r="C41" s="38" t="s">
        <v>13</v>
      </c>
      <c r="D41" s="42">
        <f>TRUNC(179262,-1)</f>
        <v>179260</v>
      </c>
      <c r="E41" s="63">
        <f t="shared" si="1"/>
        <v>592590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TRUNC(20566,-1)</f>
        <v>20560</v>
      </c>
      <c r="E43" s="63">
        <f t="shared" si="1"/>
        <v>67960</v>
      </c>
    </row>
    <row r="44" spans="1:7" x14ac:dyDescent="0.3">
      <c r="A44" s="2">
        <v>5</v>
      </c>
      <c r="C44" s="38" t="s">
        <v>17</v>
      </c>
      <c r="D44" s="42">
        <f>TRUNC(30162,-1)</f>
        <v>30160</v>
      </c>
      <c r="E44" s="63">
        <f t="shared" si="1"/>
        <v>99700</v>
      </c>
    </row>
    <row r="45" spans="1:7" x14ac:dyDescent="0.3">
      <c r="A45" s="2">
        <v>6</v>
      </c>
      <c r="C45" s="38" t="s">
        <v>18</v>
      </c>
      <c r="D45" s="42">
        <f>TRUNC(9804,-1)</f>
        <v>9800</v>
      </c>
      <c r="E45" s="63">
        <f t="shared" si="1"/>
        <v>32390</v>
      </c>
    </row>
    <row r="46" spans="1:7" x14ac:dyDescent="0.3">
      <c r="A46" s="2">
        <v>7</v>
      </c>
      <c r="C46" s="38" t="s">
        <v>19</v>
      </c>
      <c r="D46" s="42">
        <f>TRUNC(81295,-1)</f>
        <v>81290</v>
      </c>
      <c r="E46" s="63">
        <f t="shared" si="1"/>
        <v>268720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TRUNC(32018,-1)</f>
        <v>32010</v>
      </c>
      <c r="E48" s="63">
        <f t="shared" si="1"/>
        <v>105810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TRUNC(8823,-1)</f>
        <v>8820</v>
      </c>
      <c r="E49" s="63">
        <f t="shared" si="1"/>
        <v>29150</v>
      </c>
    </row>
    <row r="50" spans="1:7" x14ac:dyDescent="0.3">
      <c r="A50" s="2">
        <v>11</v>
      </c>
      <c r="C50" s="38" t="s">
        <v>155</v>
      </c>
      <c r="D50" s="42">
        <f>TRUNC(31544,-1)</f>
        <v>31540</v>
      </c>
      <c r="E50" s="63">
        <f t="shared" si="1"/>
        <v>104260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TRUNC(10841,-1)</f>
        <v>10840</v>
      </c>
      <c r="E52" s="63">
        <f t="shared" si="1"/>
        <v>35830</v>
      </c>
    </row>
    <row r="53" spans="1:7" x14ac:dyDescent="0.3">
      <c r="A53" s="2">
        <v>14</v>
      </c>
      <c r="C53" s="38" t="s">
        <v>25</v>
      </c>
      <c r="D53" s="42">
        <f>TRUNC(87512,-1)</f>
        <v>87510</v>
      </c>
      <c r="E53" s="63">
        <f t="shared" si="1"/>
        <v>289290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TRUNC(6485+20087,-1)</f>
        <v>26570</v>
      </c>
      <c r="E58" s="63">
        <f t="shared" si="1"/>
        <v>87830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TRUNC(176233,-1)</f>
        <v>176230</v>
      </c>
      <c r="E59" s="64">
        <f t="shared" si="1"/>
        <v>582580</v>
      </c>
    </row>
    <row r="60" spans="1:7" x14ac:dyDescent="0.3">
      <c r="A60" s="2">
        <v>21</v>
      </c>
      <c r="C60" s="27" t="s">
        <v>112</v>
      </c>
      <c r="D60" s="39">
        <f>SUM(D40:D59)</f>
        <v>748920</v>
      </c>
      <c r="E60" s="39">
        <f>SUM(E40:E59)</f>
        <v>2475710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TRUNC(9981,-1)</f>
        <v>9980</v>
      </c>
      <c r="E63" s="62">
        <f>TRUNC(+D63*3.3058,-1)</f>
        <v>32990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TRUNC(22124,-1)</f>
        <v>22120</v>
      </c>
      <c r="E65" s="64">
        <f>TRUNC(+D65*3.3058,-1)</f>
        <v>73120</v>
      </c>
    </row>
    <row r="66" spans="1:7" x14ac:dyDescent="0.3">
      <c r="A66" s="2">
        <v>4</v>
      </c>
      <c r="C66" s="27" t="s">
        <v>112</v>
      </c>
      <c r="D66" s="39">
        <f>SUM(D63:D65)</f>
        <v>32100</v>
      </c>
      <c r="E66" s="65">
        <f>SUM(E63:E65)</f>
        <v>106110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TRUNC(9739,-1)</f>
        <v>9730</v>
      </c>
      <c r="E69" s="62">
        <f t="shared" ref="E69:E94" si="2">TRUNC(+D69*3.3058,-1)</f>
        <v>32160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TRUNC(7345,-1)</f>
        <v>7340</v>
      </c>
      <c r="E71" s="63">
        <f t="shared" si="2"/>
        <v>24260</v>
      </c>
    </row>
    <row r="72" spans="1:7" x14ac:dyDescent="0.3">
      <c r="A72" s="2">
        <v>4</v>
      </c>
      <c r="C72" s="38" t="s">
        <v>33</v>
      </c>
      <c r="D72" s="42">
        <f>TRUNC(808,-1)</f>
        <v>800</v>
      </c>
      <c r="E72" s="63">
        <f t="shared" si="2"/>
        <v>2640</v>
      </c>
    </row>
    <row r="73" spans="1:7" x14ac:dyDescent="0.3">
      <c r="A73" s="2">
        <v>5</v>
      </c>
      <c r="C73" s="38" t="s">
        <v>34</v>
      </c>
      <c r="D73" s="42">
        <f>TRUNC(13699,-1)</f>
        <v>13690</v>
      </c>
      <c r="E73" s="63">
        <f t="shared" si="2"/>
        <v>45250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TRUNC(94359,-1)</f>
        <v>94350</v>
      </c>
      <c r="E76" s="63">
        <f t="shared" si="2"/>
        <v>311900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TRUNC(7454,-1)</f>
        <v>7450</v>
      </c>
      <c r="E89" s="63">
        <f t="shared" si="2"/>
        <v>24620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TRUNC(15727,-1)</f>
        <v>15720</v>
      </c>
      <c r="E91" s="63">
        <f t="shared" si="2"/>
        <v>51960</v>
      </c>
    </row>
    <row r="92" spans="1:7" x14ac:dyDescent="0.3">
      <c r="A92" s="2">
        <v>24</v>
      </c>
      <c r="C92" s="38" t="s">
        <v>38</v>
      </c>
      <c r="D92" s="42">
        <f>TRUNC(7040,-1)</f>
        <v>7040</v>
      </c>
      <c r="E92" s="63">
        <f t="shared" si="2"/>
        <v>23270</v>
      </c>
    </row>
    <row r="93" spans="1:7" x14ac:dyDescent="0.3">
      <c r="A93" s="2">
        <v>25</v>
      </c>
      <c r="C93" s="38" t="s">
        <v>148</v>
      </c>
      <c r="D93" s="42">
        <f>TRUNC(137418,-1)</f>
        <v>137410</v>
      </c>
      <c r="E93" s="63">
        <f t="shared" si="2"/>
        <v>454240</v>
      </c>
    </row>
    <row r="94" spans="1:7" ht="17.25" thickBot="1" x14ac:dyDescent="0.35">
      <c r="A94" s="2">
        <v>26</v>
      </c>
      <c r="C94" s="38" t="s">
        <v>47</v>
      </c>
      <c r="D94" s="43">
        <f>TRUNC(156,-1)</f>
        <v>150</v>
      </c>
      <c r="E94" s="64">
        <f t="shared" si="2"/>
        <v>490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293680</v>
      </c>
      <c r="E95" s="39">
        <f>SUM(E69:E94)</f>
        <v>970790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TRUNC(20941,-1)</f>
        <v>20940</v>
      </c>
      <c r="E98" s="62">
        <f t="shared" ref="E98:E118" si="3">TRUNC(+D98*3.3058,-1)</f>
        <v>69220</v>
      </c>
    </row>
    <row r="99" spans="1:7" x14ac:dyDescent="0.3">
      <c r="A99" s="2">
        <v>2</v>
      </c>
      <c r="C99" s="38" t="s">
        <v>40</v>
      </c>
      <c r="D99" s="42">
        <f>TRUNC(17043,-1)</f>
        <v>17040</v>
      </c>
      <c r="E99" s="63">
        <f t="shared" si="3"/>
        <v>56330</v>
      </c>
    </row>
    <row r="100" spans="1:7" x14ac:dyDescent="0.3">
      <c r="A100" s="2">
        <v>3</v>
      </c>
      <c r="C100" s="38" t="s">
        <v>41</v>
      </c>
      <c r="D100" s="42">
        <f>TRUNC(36495,-1)</f>
        <v>36490</v>
      </c>
      <c r="E100" s="63">
        <f t="shared" si="3"/>
        <v>120620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TRUNC(37897,-1)</f>
        <v>37890</v>
      </c>
      <c r="E102" s="63">
        <f t="shared" si="3"/>
        <v>125250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TRUNC(3159,-1)</f>
        <v>3150</v>
      </c>
      <c r="E104" s="63">
        <f t="shared" si="3"/>
        <v>10410</v>
      </c>
    </row>
    <row r="105" spans="1:7" x14ac:dyDescent="0.3">
      <c r="A105" s="2">
        <v>8</v>
      </c>
      <c r="C105" s="38" t="s">
        <v>46</v>
      </c>
      <c r="D105" s="42">
        <f>TRUNC(5560,-1)</f>
        <v>5560</v>
      </c>
      <c r="E105" s="63">
        <f t="shared" si="3"/>
        <v>18380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TRUNC(3154,-1)</f>
        <v>3150</v>
      </c>
      <c r="E114" s="63">
        <f t="shared" si="3"/>
        <v>10410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TRUNC(9875,-1)</f>
        <v>9870</v>
      </c>
      <c r="E116" s="63">
        <f t="shared" si="3"/>
        <v>32620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TRUNC(75759,-1)</f>
        <v>75750</v>
      </c>
      <c r="E117" s="63">
        <f t="shared" si="3"/>
        <v>250410</v>
      </c>
    </row>
    <row r="118" spans="1:7" ht="17.25" thickBot="1" x14ac:dyDescent="0.35">
      <c r="A118" s="2">
        <v>21</v>
      </c>
      <c r="C118" s="38" t="s">
        <v>47</v>
      </c>
      <c r="D118" s="43">
        <f>TRUNC(4606,-1)</f>
        <v>4600</v>
      </c>
      <c r="E118" s="64">
        <f t="shared" si="3"/>
        <v>15200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214440</v>
      </c>
      <c r="E119" s="39">
        <f>SUM(E98:E118)</f>
        <v>708850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TRUNC(2897,-1)</f>
        <v>2890</v>
      </c>
      <c r="E122" s="62">
        <f t="shared" ref="E122:E132" si="4">TRUNC(+D122*3.3058,-1)</f>
        <v>9550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TRUNC(6841,-1)</f>
        <v>6840</v>
      </c>
      <c r="E125" s="63">
        <f t="shared" si="4"/>
        <v>22610</v>
      </c>
    </row>
    <row r="126" spans="1:7" x14ac:dyDescent="0.3">
      <c r="A126" s="2">
        <v>5</v>
      </c>
      <c r="C126" s="38" t="s">
        <v>53</v>
      </c>
      <c r="D126" s="42">
        <f>TRUNC(276,-1)</f>
        <v>270</v>
      </c>
      <c r="E126" s="63">
        <f t="shared" si="4"/>
        <v>890</v>
      </c>
    </row>
    <row r="127" spans="1:7" x14ac:dyDescent="0.3">
      <c r="A127" s="2">
        <v>6</v>
      </c>
      <c r="C127" s="38" t="s">
        <v>56</v>
      </c>
      <c r="D127" s="42">
        <f>TRUNC(1793,-1)</f>
        <v>1790</v>
      </c>
      <c r="E127" s="63">
        <f t="shared" si="4"/>
        <v>5910</v>
      </c>
    </row>
    <row r="128" spans="1:7" x14ac:dyDescent="0.3">
      <c r="A128" s="2">
        <v>7</v>
      </c>
      <c r="C128" s="38" t="s">
        <v>46</v>
      </c>
      <c r="D128" s="42">
        <f>TRUNC(1348,-1)</f>
        <v>1340</v>
      </c>
      <c r="E128" s="63">
        <f t="shared" si="4"/>
        <v>4420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TRUNC(9584,-1)</f>
        <v>9580</v>
      </c>
      <c r="E130" s="63">
        <f t="shared" si="4"/>
        <v>31660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22710</v>
      </c>
      <c r="E133" s="39">
        <f>SUM(E122:E132)</f>
        <v>75040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TRUNC(2868+16693,-1)</f>
        <v>19560</v>
      </c>
      <c r="E137" s="63">
        <f t="shared" si="5"/>
        <v>64660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TRUNC(2303,-1)</f>
        <v>2300</v>
      </c>
      <c r="E139" s="63">
        <f t="shared" si="5"/>
        <v>7600</v>
      </c>
    </row>
    <row r="140" spans="1:7" x14ac:dyDescent="0.3">
      <c r="A140" s="2">
        <v>5</v>
      </c>
      <c r="C140" s="38" t="s">
        <v>57</v>
      </c>
      <c r="D140" s="42">
        <f>TRUNC(1347,-1)</f>
        <v>1340</v>
      </c>
      <c r="E140" s="63">
        <f t="shared" si="5"/>
        <v>4420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TRUNC(6302,-1)</f>
        <v>6300</v>
      </c>
      <c r="E142" s="63">
        <f t="shared" si="5"/>
        <v>20820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29500</v>
      </c>
      <c r="E146" s="39">
        <f>SUM(E136:E145)</f>
        <v>97500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TRUNC(8031+253,-1)</f>
        <v>8280</v>
      </c>
      <c r="E149" s="62">
        <f>TRUNC(+D149*3.3058,-1)</f>
        <v>27370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TRUNC(1799,-1)</f>
        <v>1790</v>
      </c>
      <c r="E150" s="63">
        <f>TRUNC(+D150*3.3058,-1)</f>
        <v>5910</v>
      </c>
    </row>
    <row r="151" spans="1:7" x14ac:dyDescent="0.3">
      <c r="A151" s="2">
        <v>3</v>
      </c>
      <c r="C151" s="38" t="s">
        <v>50</v>
      </c>
      <c r="D151" s="42">
        <f>TRUNC(28262,-1)</f>
        <v>28260</v>
      </c>
      <c r="E151" s="63">
        <f>TRUNC(+D151*3.3058,-1)</f>
        <v>93420</v>
      </c>
    </row>
    <row r="152" spans="1:7" x14ac:dyDescent="0.3">
      <c r="A152" s="2">
        <v>4</v>
      </c>
      <c r="C152" s="38" t="s">
        <v>47</v>
      </c>
      <c r="D152" s="42">
        <f>TRUNC(11106+301,-1)</f>
        <v>11400</v>
      </c>
      <c r="E152" s="63">
        <f>TRUNC(+D152*3.3058,-1)</f>
        <v>37680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49730</v>
      </c>
      <c r="E154" s="39">
        <f>SUM(E149:E153)</f>
        <v>164380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TRUNC(35789,-1)</f>
        <v>35780</v>
      </c>
      <c r="E157" s="62">
        <f>TRUNC(+D157*3.3058,-1)</f>
        <v>118280</v>
      </c>
    </row>
    <row r="158" spans="1:7" x14ac:dyDescent="0.3">
      <c r="A158" s="2">
        <v>2</v>
      </c>
      <c r="C158" s="38" t="s">
        <v>52</v>
      </c>
      <c r="D158" s="42">
        <f>TRUNC(6996,-1)</f>
        <v>6990</v>
      </c>
      <c r="E158" s="63">
        <f>TRUNC(+D158*3.3058,-1)</f>
        <v>23100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TRUNC(15960,-1)</f>
        <v>15960</v>
      </c>
      <c r="E159" s="63">
        <f>TRUNC(+D159*3.3058,-1)</f>
        <v>52760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58730</v>
      </c>
      <c r="E161" s="39">
        <f>SUM(E157:E160)</f>
        <v>194140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2020-12-08T02:17:19Z</dcterms:modified>
</cp:coreProperties>
</file>