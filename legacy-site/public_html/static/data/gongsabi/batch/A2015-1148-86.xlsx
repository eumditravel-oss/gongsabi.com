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45" i="4"/>
  <c r="E139" i="4"/>
  <c r="E136" i="4"/>
  <c r="E129" i="4"/>
  <c r="E127" i="4"/>
  <c r="E126" i="4"/>
  <c r="E123" i="4"/>
  <c r="E115" i="4"/>
  <c r="E113" i="4"/>
  <c r="E112" i="4"/>
  <c r="E111" i="4"/>
  <c r="E110" i="4"/>
  <c r="E109" i="4"/>
  <c r="E108" i="4"/>
  <c r="E107" i="4"/>
  <c r="E106" i="4"/>
  <c r="E104" i="4"/>
  <c r="E101" i="4"/>
  <c r="E90" i="4"/>
  <c r="E88" i="4"/>
  <c r="E87" i="4"/>
  <c r="E86" i="4"/>
  <c r="E85" i="4"/>
  <c r="E84" i="4"/>
  <c r="E83" i="4"/>
  <c r="E82" i="4"/>
  <c r="E81" i="4"/>
  <c r="E80" i="4"/>
  <c r="E79" i="4"/>
  <c r="E78" i="4"/>
  <c r="E77" i="4"/>
  <c r="E75" i="4"/>
  <c r="E74" i="4"/>
  <c r="E65" i="4"/>
  <c r="E64" i="4"/>
  <c r="E57" i="4"/>
  <c r="E56" i="4"/>
  <c r="E55" i="4"/>
  <c r="E54" i="4"/>
  <c r="E51" i="4"/>
  <c r="E47" i="4"/>
  <c r="E46" i="4"/>
  <c r="E37" i="4"/>
  <c r="D159" i="4" l="1"/>
  <c r="E159" i="4" s="1"/>
  <c r="D158" i="4"/>
  <c r="E158" i="4" s="1"/>
  <c r="D157" i="4"/>
  <c r="E157" i="4" s="1"/>
  <c r="E161" i="4" s="1"/>
  <c r="D153" i="4"/>
  <c r="E153" i="4" s="1"/>
  <c r="D152" i="4"/>
  <c r="E152" i="4" s="1"/>
  <c r="D151" i="4"/>
  <c r="E151" i="4" s="1"/>
  <c r="D150" i="4"/>
  <c r="D149" i="4"/>
  <c r="E149" i="4" s="1"/>
  <c r="D144" i="4"/>
  <c r="E144" i="4" s="1"/>
  <c r="D143" i="4"/>
  <c r="E143" i="4" s="1"/>
  <c r="D142" i="4"/>
  <c r="E142" i="4" s="1"/>
  <c r="D141" i="4"/>
  <c r="E141" i="4" s="1"/>
  <c r="D140" i="4"/>
  <c r="E140" i="4" s="1"/>
  <c r="D138" i="4"/>
  <c r="E138" i="4" s="1"/>
  <c r="D137" i="4"/>
  <c r="D132" i="4"/>
  <c r="E132" i="4" s="1"/>
  <c r="D131" i="4"/>
  <c r="E131" i="4" s="1"/>
  <c r="D130" i="4"/>
  <c r="E130" i="4" s="1"/>
  <c r="D128" i="4"/>
  <c r="E128" i="4" s="1"/>
  <c r="D125" i="4"/>
  <c r="E125" i="4" s="1"/>
  <c r="D124" i="4"/>
  <c r="E124" i="4" s="1"/>
  <c r="D122" i="4"/>
  <c r="D118" i="4"/>
  <c r="E118" i="4" s="1"/>
  <c r="D117" i="4"/>
  <c r="E117" i="4" s="1"/>
  <c r="D116" i="4"/>
  <c r="E116" i="4" s="1"/>
  <c r="D114" i="4"/>
  <c r="E114" i="4" s="1"/>
  <c r="D105" i="4"/>
  <c r="E105" i="4" s="1"/>
  <c r="D103" i="4"/>
  <c r="E103" i="4" s="1"/>
  <c r="D102" i="4"/>
  <c r="E102" i="4" s="1"/>
  <c r="D100" i="4"/>
  <c r="E100" i="4" s="1"/>
  <c r="D99" i="4"/>
  <c r="E99" i="4" s="1"/>
  <c r="D98" i="4"/>
  <c r="D94" i="4"/>
  <c r="E94" i="4" s="1"/>
  <c r="D93" i="4"/>
  <c r="E93" i="4" s="1"/>
  <c r="D92" i="4"/>
  <c r="E92" i="4" s="1"/>
  <c r="D91" i="4"/>
  <c r="E91" i="4" s="1"/>
  <c r="D89" i="4"/>
  <c r="E89" i="4" s="1"/>
  <c r="D76" i="4"/>
  <c r="E76" i="4" s="1"/>
  <c r="D73" i="4"/>
  <c r="E73" i="4" s="1"/>
  <c r="D72" i="4"/>
  <c r="E72" i="4" s="1"/>
  <c r="D71" i="4"/>
  <c r="E71" i="4" s="1"/>
  <c r="D70" i="4"/>
  <c r="E70" i="4" s="1"/>
  <c r="D69" i="4"/>
  <c r="D66" i="4"/>
  <c r="D63" i="4"/>
  <c r="E63" i="4" s="1"/>
  <c r="E66" i="4" s="1"/>
  <c r="D59" i="4"/>
  <c r="E59" i="4" s="1"/>
  <c r="D58" i="4"/>
  <c r="E58" i="4" s="1"/>
  <c r="D53" i="4"/>
  <c r="E53" i="4" s="1"/>
  <c r="D52" i="4"/>
  <c r="E52" i="4" s="1"/>
  <c r="D50" i="4"/>
  <c r="E50" i="4" s="1"/>
  <c r="D49" i="4"/>
  <c r="E49" i="4" s="1"/>
  <c r="D48" i="4"/>
  <c r="E48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D26" i="4"/>
  <c r="E26" i="4" s="1"/>
  <c r="D24" i="4"/>
  <c r="E24" i="4" s="1"/>
  <c r="D7" i="4"/>
  <c r="D60" i="4" l="1"/>
  <c r="D25" i="4" s="1"/>
  <c r="E25" i="4" s="1"/>
  <c r="E40" i="4"/>
  <c r="E60" i="4" s="1"/>
  <c r="D133" i="4"/>
  <c r="D29" i="4" s="1"/>
  <c r="E29" i="4" s="1"/>
  <c r="E122" i="4"/>
  <c r="D119" i="4"/>
  <c r="D28" i="4" s="1"/>
  <c r="E28" i="4" s="1"/>
  <c r="E98" i="4"/>
  <c r="E133" i="4"/>
  <c r="D161" i="4"/>
  <c r="D32" i="4" s="1"/>
  <c r="E32" i="4" s="1"/>
  <c r="D95" i="4"/>
  <c r="D27" i="4" s="1"/>
  <c r="E27" i="4" s="1"/>
  <c r="E69" i="4"/>
  <c r="E95" i="4" s="1"/>
  <c r="E119" i="4"/>
  <c r="D146" i="4"/>
  <c r="D30" i="4" s="1"/>
  <c r="E30" i="4" s="1"/>
  <c r="E137" i="4"/>
  <c r="E146" i="4" s="1"/>
  <c r="D154" i="4"/>
  <c r="D31" i="4" s="1"/>
  <c r="E31" i="4" s="1"/>
  <c r="E150" i="4"/>
  <c r="E154" i="4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D34" i="4" l="1"/>
  <c r="E33" i="4"/>
  <c r="E34" i="4" s="1"/>
</calcChain>
</file>

<file path=xl/sharedStrings.xml><?xml version="1.0" encoding="utf-8"?>
<sst xmlns="http://schemas.openxmlformats.org/spreadsheetml/2006/main" count="395" uniqueCount="267">
  <si>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</si>
  <si>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</si>
  <si>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</si>
  <si>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</si>
  <si>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</si>
  <si>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</si>
  <si>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</si>
  <si>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</si>
  <si>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</si>
  <si>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</si>
  <si>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</si>
  <si>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</si>
  <si>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</si>
  <si>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</si>
  <si>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</si>
  <si>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</si>
  <si>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</si>
  <si>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</si>
  <si>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</si>
  <si>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</si>
  <si>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</si>
  <si>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</si>
  <si>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</si>
  <si>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</si>
  <si>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</si>
  <si>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</si>
  <si>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</si>
  <si>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</si>
  <si>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</si>
  <si>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</si>
  <si>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</si>
  <si>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</si>
  <si>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</si>
  <si>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</si>
  <si>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</si>
  <si>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</si>
  <si>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</si>
  <si>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</si>
  <si>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</si>
  <si>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</si>
  <si>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</si>
  <si>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</si>
  <si>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</si>
  <si>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</si>
  <si>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</si>
  <si>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</si>
  <si>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</si>
  <si>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</si>
  <si>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</si>
  <si>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</si>
  <si>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</si>
  <si>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</si>
  <si>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</si>
  <si>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</si>
  <si>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</si>
  <si>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</si>
  <si>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</si>
  <si>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</si>
  <si>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</si>
  <si>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</si>
  <si>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</si>
  <si>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</si>
  <si>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</si>
  <si>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</si>
  <si>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</si>
  <si>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</si>
  <si>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</si>
  <si>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</si>
  <si>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</si>
  <si>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</si>
  <si>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</si>
  <si>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</si>
  <si>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</si>
  <si>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</si>
  <si>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</si>
  <si>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</si>
  <si>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</si>
  <si>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</si>
  <si>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</si>
  <si>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</si>
  <si>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</si>
  <si>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</si>
  <si>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</si>
  <si>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</si>
  <si>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</si>
  <si>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</si>
  <si>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</si>
  <si>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</si>
  <si>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</si>
  <si>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</si>
  <si>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</si>
  <si>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</si>
  <si>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</si>
  <si>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</si>
  <si>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</si>
  <si>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</si>
  <si>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</si>
  <si>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</si>
  <si>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</si>
  <si>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</si>
  <si>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</si>
  <si>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</si>
  <si>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</si>
  <si>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</si>
  <si>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</si>
  <si>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</si>
  <si>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</si>
  <si>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</si>
  <si>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</si>
  <si>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</si>
  <si>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</si>
  <si>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</si>
  <si>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</si>
  <si>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</si>
  <si>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</si>
  <si>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</si>
  <si>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</si>
  <si>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</si>
  <si>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</si>
  <si>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</si>
  <si>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</si>
  <si>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</si>
  <si>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</si>
  <si>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</si>
  <si>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</si>
  <si>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</si>
  <si>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</si>
  <si>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</si>
  <si>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</si>
  <si>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</si>
  <si>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</si>
  <si>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</si>
  <si>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</si>
  <si>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</si>
  <si>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</si>
  <si>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</si>
  <si>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</si>
  <si>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</si>
  <si>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</si>
  <si>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</si>
  <si>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</si>
  <si>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</si>
  <si>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</si>
  <si>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</si>
  <si>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</si>
  <si>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</si>
  <si>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</si>
  <si>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</si>
  <si>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</si>
  <si>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</si>
  <si>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</si>
  <si>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</si>
  <si>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</si>
  <si>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</si>
  <si>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</si>
  <si>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</si>
  <si>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</si>
  <si>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</si>
  <si>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</si>
  <si>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</si>
  <si>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</si>
  <si>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</si>
  <si>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</si>
  <si>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</si>
  <si>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</si>
  <si>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</si>
  <si>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</si>
  <si>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</si>
  <si>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</si>
  <si>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</si>
  <si>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</si>
  <si>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</si>
  <si>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</si>
  <si>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</si>
  <si>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</si>
  <si>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</si>
  <si>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</si>
  <si>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</si>
  <si>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</si>
  <si>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</si>
  <si>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</si>
  <si>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</si>
  <si>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</si>
  <si>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</si>
  <si>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</si>
  <si>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</si>
  <si>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</si>
  <si>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</si>
  <si>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</si>
  <si>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</si>
  <si>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</si>
  <si>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</si>
  <si>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</si>
  <si>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</si>
  <si>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</si>
  <si>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</si>
  <si>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</si>
  <si>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</si>
  <si>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</si>
  <si>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</si>
  <si>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</si>
  <si>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</si>
  <si>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</si>
  <si>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</si>
  <si>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</si>
  <si>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</si>
  <si>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</si>
  <si>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</si>
  <si>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</si>
  <si>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</si>
  <si>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</si>
  <si>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</si>
  <si>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</si>
  <si>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</si>
  <si>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</si>
  <si>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</si>
  <si>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</si>
  <si>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</si>
  <si>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</si>
  <si>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</si>
  <si>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</si>
  <si>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</si>
  <si>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</si>
  <si>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</si>
  <si>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</si>
  <si>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</si>
  <si>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</si>
  <si>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</si>
  <si>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</si>
  <si>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</si>
  <si>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</si>
  <si>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</si>
  <si>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</si>
  <si>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</si>
  <si>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</si>
  <si>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</si>
  <si>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</si>
  <si>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</si>
  <si>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</si>
  <si>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</si>
  <si>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</si>
  <si>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</si>
  <si>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</si>
  <si>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</si>
  <si>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</si>
  <si>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</si>
  <si>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글벗중학교 신축공사</t>
    <phoneticPr fontId="2" type="noConversion"/>
  </si>
  <si>
    <t>교육연구</t>
  </si>
  <si>
    <t>세종시</t>
  </si>
  <si>
    <t>평</t>
    <phoneticPr fontId="2" type="noConversion"/>
  </si>
  <si>
    <t>원/ m2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</si>
  <si>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</si>
  <si>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</si>
  <si>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목공사, 인테리어공사 포함</t>
    <phoneticPr fontId="2" type="noConversion"/>
  </si>
  <si>
    <t>기초공사,골재비및운반비,작업부산물,기타공사</t>
    <phoneticPr fontId="2" type="noConversion"/>
  </si>
  <si>
    <t>바닥난방공사, 기타공사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</si>
  <si>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</si>
  <si>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</si>
  <si>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옥외소화배관공사, 펌프실배관공사, 기타공사</t>
    <phoneticPr fontId="2" type="noConversion"/>
  </si>
  <si>
    <t>토목</t>
    <phoneticPr fontId="2" type="noConversion"/>
  </si>
  <si>
    <t>토목 사급자재비, 토목 기타공사</t>
    <phoneticPr fontId="2" type="noConversion"/>
  </si>
  <si>
    <t>포장공사, 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</si>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</sst>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0" fontId="0" fillId="0" borderId="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247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249</v>
      </c>
    </row>
    <row r="7" spans="1:4" ht="17.25" thickBot="1" x14ac:dyDescent="0.35">
      <c r="C7" s="37">
        <v>10894</v>
      </c>
      <c r="D7" s="36">
        <f>+C7/3.3058</f>
        <v>3295.4201706092322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250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D37</f>
        <v>0</v>
      </c>
      <c r="E24" s="59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739530</v>
      </c>
      <c r="E25" s="60">
        <f t="shared" si="0"/>
        <v>2444730</v>
      </c>
    </row>
    <row r="26" spans="1:5" x14ac:dyDescent="0.3">
      <c r="B26" s="2">
        <v>3</v>
      </c>
      <c r="C26" s="35" t="s">
        <v>95</v>
      </c>
      <c r="D26" s="45">
        <f>+D66</f>
        <v>7610</v>
      </c>
      <c r="E26" s="60">
        <f t="shared" si="0"/>
        <v>25150</v>
      </c>
    </row>
    <row r="27" spans="1:5" x14ac:dyDescent="0.3">
      <c r="B27" s="2">
        <v>4</v>
      </c>
      <c r="C27" s="35" t="s">
        <v>96</v>
      </c>
      <c r="D27" s="45">
        <f>+D95</f>
        <v>201400</v>
      </c>
      <c r="E27" s="60">
        <f t="shared" si="0"/>
        <v>665780</v>
      </c>
    </row>
    <row r="28" spans="1:5" x14ac:dyDescent="0.3">
      <c r="B28" s="2">
        <v>5</v>
      </c>
      <c r="C28" s="35" t="s">
        <v>97</v>
      </c>
      <c r="D28" s="45">
        <f>+D119</f>
        <v>149340</v>
      </c>
      <c r="E28" s="60">
        <f t="shared" si="0"/>
        <v>493680</v>
      </c>
    </row>
    <row r="29" spans="1:5" x14ac:dyDescent="0.3">
      <c r="B29" s="2">
        <v>6</v>
      </c>
      <c r="C29" s="35" t="s">
        <v>98</v>
      </c>
      <c r="D29" s="45">
        <f>+D133</f>
        <v>53660</v>
      </c>
      <c r="E29" s="60">
        <f t="shared" si="0"/>
        <v>177380</v>
      </c>
    </row>
    <row r="30" spans="1:5" x14ac:dyDescent="0.3">
      <c r="B30" s="2">
        <v>7</v>
      </c>
      <c r="C30" s="35" t="s">
        <v>99</v>
      </c>
      <c r="D30" s="45">
        <f>+D146</f>
        <v>32660</v>
      </c>
      <c r="E30" s="60">
        <f t="shared" si="0"/>
        <v>107960</v>
      </c>
    </row>
    <row r="31" spans="1:5" x14ac:dyDescent="0.3">
      <c r="B31" s="2">
        <v>8</v>
      </c>
      <c r="C31" s="35" t="s">
        <v>100</v>
      </c>
      <c r="D31" s="45">
        <f>+D154</f>
        <v>91630</v>
      </c>
      <c r="E31" s="60">
        <f t="shared" si="0"/>
        <v>302910</v>
      </c>
    </row>
    <row r="32" spans="1:5" x14ac:dyDescent="0.3">
      <c r="B32" s="2">
        <v>9</v>
      </c>
      <c r="C32" s="35" t="s">
        <v>101</v>
      </c>
      <c r="D32" s="45">
        <f>+D161</f>
        <v>43180</v>
      </c>
      <c r="E32" s="60">
        <f t="shared" si="0"/>
        <v>142740</v>
      </c>
    </row>
    <row r="33" spans="1:7" x14ac:dyDescent="0.3">
      <c r="B33" s="2">
        <v>10</v>
      </c>
      <c r="C33" s="35" t="s">
        <v>154</v>
      </c>
      <c r="D33" s="53">
        <f>TRUNC(SUM(D24:D32)*0.275,-1)</f>
        <v>362720</v>
      </c>
      <c r="E33" s="61">
        <f t="shared" si="0"/>
        <v>1199070</v>
      </c>
    </row>
    <row r="34" spans="1:7" x14ac:dyDescent="0.3">
      <c r="C34" s="35" t="s">
        <v>112</v>
      </c>
      <c r="D34" s="44">
        <f>SUM(D24:D33)</f>
        <v>1681730</v>
      </c>
      <c r="E34" s="44">
        <f>SUM(E24:E33)</f>
        <v>5559400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236</v>
      </c>
      <c r="D36" s="56" t="s">
        <v>235</v>
      </c>
      <c r="E36" s="56" t="s">
        <v>153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2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240</v>
      </c>
      <c r="D39" s="67" t="s">
        <v>262</v>
      </c>
      <c r="E39" s="67" t="s">
        <v>263</v>
      </c>
      <c r="G39" s="68"/>
    </row>
    <row r="40" spans="1:7" x14ac:dyDescent="0.3">
      <c r="A40" s="2">
        <v>1</v>
      </c>
      <c r="C40" s="38" t="s">
        <v>15</v>
      </c>
      <c r="D40" s="40">
        <f>TRUNC(52842,-1)</f>
        <v>52840</v>
      </c>
      <c r="E40" s="63">
        <f t="shared" ref="E40:E59" si="1">TRUNC(+D40*3.3058,-1)</f>
        <v>174670</v>
      </c>
    </row>
    <row r="41" spans="1:7" x14ac:dyDescent="0.3">
      <c r="A41" s="2">
        <v>2</v>
      </c>
      <c r="C41" s="38" t="s">
        <v>13</v>
      </c>
      <c r="D41" s="42">
        <f>TRUNC(128346,-1)</f>
        <v>128340</v>
      </c>
      <c r="E41" s="64">
        <f t="shared" si="1"/>
        <v>424260</v>
      </c>
    </row>
    <row r="42" spans="1:7" x14ac:dyDescent="0.3">
      <c r="A42" s="2">
        <v>3</v>
      </c>
      <c r="C42" s="38" t="s">
        <v>14</v>
      </c>
      <c r="D42" s="42">
        <f>TRUNC(7114,-1)</f>
        <v>7110</v>
      </c>
      <c r="E42" s="64">
        <f t="shared" si="1"/>
        <v>23500</v>
      </c>
    </row>
    <row r="43" spans="1:7" x14ac:dyDescent="0.3">
      <c r="A43" s="2">
        <v>4</v>
      </c>
      <c r="C43" s="38" t="s">
        <v>16</v>
      </c>
      <c r="D43" s="42">
        <f>TRUNC(35052,-1)</f>
        <v>35050</v>
      </c>
      <c r="E43" s="64">
        <f t="shared" si="1"/>
        <v>115860</v>
      </c>
    </row>
    <row r="44" spans="1:7" x14ac:dyDescent="0.3">
      <c r="A44" s="2">
        <v>5</v>
      </c>
      <c r="C44" s="38" t="s">
        <v>17</v>
      </c>
      <c r="D44" s="42">
        <f>TRUNC(23536,-1)</f>
        <v>23530</v>
      </c>
      <c r="E44" s="64">
        <f t="shared" si="1"/>
        <v>77780</v>
      </c>
    </row>
    <row r="45" spans="1:7" x14ac:dyDescent="0.3">
      <c r="A45" s="2">
        <v>6</v>
      </c>
      <c r="C45" s="38" t="s">
        <v>18</v>
      </c>
      <c r="D45" s="42">
        <f>TRUNC(8479,-1)</f>
        <v>8470</v>
      </c>
      <c r="E45" s="64">
        <f t="shared" si="1"/>
        <v>28000</v>
      </c>
    </row>
    <row r="46" spans="1:7" x14ac:dyDescent="0.3">
      <c r="A46" s="2">
        <v>7</v>
      </c>
      <c r="C46" s="38" t="s">
        <v>19</v>
      </c>
      <c r="D46" s="42">
        <v>35490</v>
      </c>
      <c r="E46" s="64">
        <f t="shared" si="1"/>
        <v>117320</v>
      </c>
    </row>
    <row r="47" spans="1:7" x14ac:dyDescent="0.3">
      <c r="A47" s="2">
        <v>8</v>
      </c>
      <c r="C47" s="38" t="s">
        <v>20</v>
      </c>
      <c r="D47" s="42">
        <v>0</v>
      </c>
      <c r="E47" s="64">
        <f t="shared" si="1"/>
        <v>0</v>
      </c>
    </row>
    <row r="48" spans="1:7" x14ac:dyDescent="0.3">
      <c r="A48" s="2">
        <v>9</v>
      </c>
      <c r="C48" s="38" t="s">
        <v>21</v>
      </c>
      <c r="D48" s="42">
        <f>TRUNC(54099,-1)</f>
        <v>54090</v>
      </c>
      <c r="E48" s="64">
        <f t="shared" si="1"/>
        <v>178810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TRUNC(18314,-1)</f>
        <v>18310</v>
      </c>
      <c r="E49" s="64">
        <f t="shared" si="1"/>
        <v>60520</v>
      </c>
    </row>
    <row r="50" spans="1:7" x14ac:dyDescent="0.3">
      <c r="A50" s="2">
        <v>11</v>
      </c>
      <c r="C50" s="38" t="s">
        <v>155</v>
      </c>
      <c r="D50" s="42">
        <f>TRUNC(30014,-1)</f>
        <v>30010</v>
      </c>
      <c r="E50" s="64">
        <f t="shared" si="1"/>
        <v>99200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4">
        <f t="shared" si="1"/>
        <v>0</v>
      </c>
    </row>
    <row r="52" spans="1:7" x14ac:dyDescent="0.3">
      <c r="A52" s="2">
        <v>13</v>
      </c>
      <c r="C52" s="38" t="s">
        <v>24</v>
      </c>
      <c r="D52" s="42">
        <f>TRUNC(8747,-1)</f>
        <v>8740</v>
      </c>
      <c r="E52" s="64">
        <f t="shared" si="1"/>
        <v>28890</v>
      </c>
    </row>
    <row r="53" spans="1:7" x14ac:dyDescent="0.3">
      <c r="A53" s="2">
        <v>14</v>
      </c>
      <c r="C53" s="38" t="s">
        <v>25</v>
      </c>
      <c r="D53" s="42">
        <f>TRUNC(66588,-1)</f>
        <v>66580</v>
      </c>
      <c r="E53" s="64">
        <f t="shared" si="1"/>
        <v>220100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4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4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4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4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TRUNC(31876+7590-508+14537,-1)</f>
        <v>53490</v>
      </c>
      <c r="E58" s="64">
        <f t="shared" si="1"/>
        <v>176820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TRUNC(217485,-1)</f>
        <v>217480</v>
      </c>
      <c r="E59" s="65">
        <f t="shared" si="1"/>
        <v>718940</v>
      </c>
    </row>
    <row r="60" spans="1:7" x14ac:dyDescent="0.3">
      <c r="A60" s="2">
        <v>21</v>
      </c>
      <c r="C60" s="27" t="s">
        <v>112</v>
      </c>
      <c r="D60" s="39">
        <f>SUM(D40:D59)</f>
        <v>739530</v>
      </c>
      <c r="E60" s="39">
        <f>SUM(E40:E59)</f>
        <v>2444670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237</v>
      </c>
      <c r="C62" s="55" t="s">
        <v>238</v>
      </c>
      <c r="D62" s="56" t="s">
        <v>235</v>
      </c>
      <c r="E62" s="56" t="s">
        <v>153</v>
      </c>
      <c r="F62" s="54"/>
      <c r="G62" s="54"/>
    </row>
    <row r="63" spans="1:7" x14ac:dyDescent="0.3">
      <c r="A63" s="2">
        <v>1</v>
      </c>
      <c r="C63" s="38" t="s">
        <v>27</v>
      </c>
      <c r="D63" s="40">
        <f>TRUNC(7614,-1)</f>
        <v>7610</v>
      </c>
      <c r="E63" s="63">
        <f>TRUNC(+D63*3.3058,-1)</f>
        <v>25150</v>
      </c>
    </row>
    <row r="64" spans="1:7" x14ac:dyDescent="0.3">
      <c r="A64" s="2">
        <v>2</v>
      </c>
      <c r="C64" s="38" t="s">
        <v>29</v>
      </c>
      <c r="D64" s="42">
        <v>0</v>
      </c>
      <c r="E64" s="64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5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7610</v>
      </c>
      <c r="E66" s="57">
        <f>SUM(E63:E65)</f>
        <v>25150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239</v>
      </c>
      <c r="C68" s="55" t="s">
        <v>240</v>
      </c>
      <c r="D68" s="56" t="s">
        <v>235</v>
      </c>
      <c r="E68" s="56" t="s">
        <v>153</v>
      </c>
      <c r="F68" s="54"/>
      <c r="G68" s="54"/>
    </row>
    <row r="69" spans="1:7" x14ac:dyDescent="0.3">
      <c r="A69" s="2">
        <v>1</v>
      </c>
      <c r="C69" s="38" t="s">
        <v>30</v>
      </c>
      <c r="D69" s="40">
        <f>TRUNC(7903,-1)</f>
        <v>7900</v>
      </c>
      <c r="E69" s="63">
        <f t="shared" ref="E69:E94" si="2">TRUNC(+D69*3.3058,-1)</f>
        <v>26110</v>
      </c>
    </row>
    <row r="70" spans="1:7" ht="16.5" customHeight="1" x14ac:dyDescent="0.3">
      <c r="A70" s="2">
        <v>2</v>
      </c>
      <c r="C70" s="38" t="s">
        <v>31</v>
      </c>
      <c r="D70" s="42">
        <f>TRUNC(3219,-1)</f>
        <v>3210</v>
      </c>
      <c r="E70" s="64">
        <f t="shared" si="2"/>
        <v>10610</v>
      </c>
    </row>
    <row r="71" spans="1:7" x14ac:dyDescent="0.3">
      <c r="A71" s="2">
        <v>3</v>
      </c>
      <c r="C71" s="38" t="s">
        <v>32</v>
      </c>
      <c r="D71" s="42">
        <f>TRUNC(7095,-1)</f>
        <v>7090</v>
      </c>
      <c r="E71" s="64">
        <f t="shared" si="2"/>
        <v>23430</v>
      </c>
    </row>
    <row r="72" spans="1:7" x14ac:dyDescent="0.3">
      <c r="A72" s="2">
        <v>4</v>
      </c>
      <c r="C72" s="38" t="s">
        <v>33</v>
      </c>
      <c r="D72" s="42">
        <f>TRUNC(4249,-1)</f>
        <v>4240</v>
      </c>
      <c r="E72" s="64">
        <f t="shared" si="2"/>
        <v>14010</v>
      </c>
    </row>
    <row r="73" spans="1:7" x14ac:dyDescent="0.3">
      <c r="A73" s="2">
        <v>5</v>
      </c>
      <c r="C73" s="38" t="s">
        <v>34</v>
      </c>
      <c r="D73" s="42">
        <f>TRUNC(11513,-1)</f>
        <v>11510</v>
      </c>
      <c r="E73" s="64">
        <f t="shared" si="2"/>
        <v>38040</v>
      </c>
    </row>
    <row r="74" spans="1:7" x14ac:dyDescent="0.3">
      <c r="A74" s="2">
        <v>6</v>
      </c>
      <c r="C74" s="38" t="s">
        <v>176</v>
      </c>
      <c r="D74" s="42">
        <v>0</v>
      </c>
      <c r="E74" s="64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4">
        <f t="shared" si="2"/>
        <v>0</v>
      </c>
    </row>
    <row r="76" spans="1:7" x14ac:dyDescent="0.3">
      <c r="A76" s="2">
        <v>8</v>
      </c>
      <c r="C76" s="38" t="s">
        <v>119</v>
      </c>
      <c r="D76" s="42">
        <f>TRUNC(27164,-1)</f>
        <v>27160</v>
      </c>
      <c r="E76" s="64">
        <f t="shared" si="2"/>
        <v>89780</v>
      </c>
    </row>
    <row r="77" spans="1:7" x14ac:dyDescent="0.3">
      <c r="A77" s="2">
        <v>9</v>
      </c>
      <c r="C77" s="38" t="s">
        <v>152</v>
      </c>
      <c r="D77" s="42">
        <v>0</v>
      </c>
      <c r="E77" s="64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4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4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4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4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4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4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4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4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4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4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4">
        <f t="shared" si="2"/>
        <v>0</v>
      </c>
    </row>
    <row r="89" spans="1:7" x14ac:dyDescent="0.3">
      <c r="A89" s="2">
        <v>21</v>
      </c>
      <c r="C89" s="38" t="s">
        <v>35</v>
      </c>
      <c r="D89" s="42">
        <f>TRUNC(4318,-1)</f>
        <v>4310</v>
      </c>
      <c r="E89" s="64">
        <f t="shared" si="2"/>
        <v>14240</v>
      </c>
    </row>
    <row r="90" spans="1:7" x14ac:dyDescent="0.3">
      <c r="A90" s="2">
        <v>22</v>
      </c>
      <c r="C90" s="38" t="s">
        <v>36</v>
      </c>
      <c r="D90" s="42">
        <v>0</v>
      </c>
      <c r="E90" s="64">
        <f t="shared" si="2"/>
        <v>0</v>
      </c>
    </row>
    <row r="91" spans="1:7" x14ac:dyDescent="0.3">
      <c r="A91" s="2">
        <v>23</v>
      </c>
      <c r="C91" s="38" t="s">
        <v>37</v>
      </c>
      <c r="D91" s="42">
        <f>TRUNC(11026,-1)</f>
        <v>11020</v>
      </c>
      <c r="E91" s="64">
        <f t="shared" si="2"/>
        <v>36420</v>
      </c>
    </row>
    <row r="92" spans="1:7" x14ac:dyDescent="0.3">
      <c r="A92" s="2">
        <v>24</v>
      </c>
      <c r="C92" s="38" t="s">
        <v>38</v>
      </c>
      <c r="D92" s="42">
        <f>TRUNC(7338,-1)</f>
        <v>7330</v>
      </c>
      <c r="E92" s="64">
        <f t="shared" si="2"/>
        <v>24230</v>
      </c>
    </row>
    <row r="93" spans="1:7" x14ac:dyDescent="0.3">
      <c r="A93" s="2">
        <v>25</v>
      </c>
      <c r="C93" s="38" t="s">
        <v>148</v>
      </c>
      <c r="D93" s="42">
        <f>TRUNC(102322,-1)</f>
        <v>102320</v>
      </c>
      <c r="E93" s="64">
        <f t="shared" si="2"/>
        <v>338240</v>
      </c>
    </row>
    <row r="94" spans="1:7" ht="17.25" thickBot="1" x14ac:dyDescent="0.35">
      <c r="A94" s="2">
        <v>26</v>
      </c>
      <c r="C94" s="38" t="s">
        <v>47</v>
      </c>
      <c r="D94" s="43">
        <f>917+14393</f>
        <v>15310</v>
      </c>
      <c r="E94" s="65">
        <f t="shared" si="2"/>
        <v>50610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201400</v>
      </c>
      <c r="E95" s="39">
        <f>SUM(E69:E94)</f>
        <v>665720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241</v>
      </c>
      <c r="C97" s="55" t="s">
        <v>240</v>
      </c>
      <c r="D97" s="56" t="s">
        <v>235</v>
      </c>
      <c r="E97" s="56" t="s">
        <v>153</v>
      </c>
      <c r="F97" s="54"/>
      <c r="G97" s="54"/>
    </row>
    <row r="98" spans="1:7" x14ac:dyDescent="0.3">
      <c r="A98" s="2">
        <v>1</v>
      </c>
      <c r="C98" s="38" t="s">
        <v>39</v>
      </c>
      <c r="D98" s="40">
        <f>TRUNC(10527,-1)</f>
        <v>10520</v>
      </c>
      <c r="E98" s="63">
        <f t="shared" ref="E98:E118" si="3">TRUNC(+D98*3.3058,-1)</f>
        <v>34770</v>
      </c>
    </row>
    <row r="99" spans="1:7" x14ac:dyDescent="0.3">
      <c r="A99" s="2">
        <v>2</v>
      </c>
      <c r="C99" s="38" t="s">
        <v>40</v>
      </c>
      <c r="D99" s="42">
        <f>TRUNC(9562,-1)</f>
        <v>9560</v>
      </c>
      <c r="E99" s="64">
        <f t="shared" si="3"/>
        <v>31600</v>
      </c>
    </row>
    <row r="100" spans="1:7" x14ac:dyDescent="0.3">
      <c r="A100" s="2">
        <v>3</v>
      </c>
      <c r="C100" s="38" t="s">
        <v>41</v>
      </c>
      <c r="D100" s="42">
        <f>TRUNC(22118,-1)</f>
        <v>22110</v>
      </c>
      <c r="E100" s="64">
        <f t="shared" si="3"/>
        <v>73090</v>
      </c>
    </row>
    <row r="101" spans="1:7" x14ac:dyDescent="0.3">
      <c r="A101" s="2">
        <v>4</v>
      </c>
      <c r="C101" s="38" t="s">
        <v>42</v>
      </c>
      <c r="D101" s="42">
        <v>0</v>
      </c>
      <c r="E101" s="64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TRUNC(13988,-1)</f>
        <v>13980</v>
      </c>
      <c r="E102" s="64">
        <f t="shared" si="3"/>
        <v>46210</v>
      </c>
    </row>
    <row r="103" spans="1:7" x14ac:dyDescent="0.3">
      <c r="A103" s="2">
        <v>6</v>
      </c>
      <c r="C103" s="38" t="s">
        <v>44</v>
      </c>
      <c r="D103" s="42">
        <f>TRUNC(5365,-1)</f>
        <v>5360</v>
      </c>
      <c r="E103" s="64">
        <f t="shared" si="3"/>
        <v>17710</v>
      </c>
    </row>
    <row r="104" spans="1:7" x14ac:dyDescent="0.3">
      <c r="A104" s="2">
        <v>7</v>
      </c>
      <c r="C104" s="38" t="s">
        <v>45</v>
      </c>
      <c r="D104" s="42">
        <v>3490</v>
      </c>
      <c r="E104" s="64">
        <f t="shared" si="3"/>
        <v>11530</v>
      </c>
    </row>
    <row r="105" spans="1:7" x14ac:dyDescent="0.3">
      <c r="A105" s="2">
        <v>8</v>
      </c>
      <c r="C105" s="38" t="s">
        <v>46</v>
      </c>
      <c r="D105" s="42">
        <f>TRUNC(6551,-1)</f>
        <v>6550</v>
      </c>
      <c r="E105" s="64">
        <f t="shared" si="3"/>
        <v>21650</v>
      </c>
    </row>
    <row r="106" spans="1:7" x14ac:dyDescent="0.3">
      <c r="A106" s="2">
        <v>9</v>
      </c>
      <c r="C106" s="38" t="s">
        <v>135</v>
      </c>
      <c r="D106" s="42">
        <v>0</v>
      </c>
      <c r="E106" s="64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4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4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4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4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4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4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4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TRUNC(2539,-1)</f>
        <v>2530</v>
      </c>
      <c r="E114" s="64">
        <f t="shared" si="3"/>
        <v>8360</v>
      </c>
      <c r="F114" s="2" t="s">
        <v>256</v>
      </c>
    </row>
    <row r="115" spans="1:7" x14ac:dyDescent="0.3">
      <c r="A115" s="2">
        <v>18</v>
      </c>
      <c r="C115" s="38" t="s">
        <v>116</v>
      </c>
      <c r="D115" s="42">
        <v>0</v>
      </c>
      <c r="E115" s="64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TRUNC(2121,-1)</f>
        <v>2120</v>
      </c>
      <c r="E116" s="64">
        <f t="shared" si="3"/>
        <v>7000</v>
      </c>
      <c r="F116" s="2" t="s">
        <v>257</v>
      </c>
    </row>
    <row r="117" spans="1:7" x14ac:dyDescent="0.3">
      <c r="A117" s="2">
        <v>20</v>
      </c>
      <c r="C117" s="38" t="s">
        <v>148</v>
      </c>
      <c r="D117" s="42">
        <f>TRUNC(71735,-1)</f>
        <v>71730</v>
      </c>
      <c r="E117" s="64">
        <f t="shared" si="3"/>
        <v>237120</v>
      </c>
    </row>
    <row r="118" spans="1:7" ht="17.25" thickBot="1" x14ac:dyDescent="0.35">
      <c r="A118" s="2">
        <v>21</v>
      </c>
      <c r="C118" s="38" t="s">
        <v>47</v>
      </c>
      <c r="D118" s="43">
        <f>TRUNC(1397,-1)</f>
        <v>1390</v>
      </c>
      <c r="E118" s="65">
        <f t="shared" si="3"/>
        <v>4590</v>
      </c>
    </row>
    <row r="119" spans="1:7" x14ac:dyDescent="0.3">
      <c r="A119" s="2">
        <v>22</v>
      </c>
      <c r="C119" s="27" t="s">
        <v>112</v>
      </c>
      <c r="D119" s="39">
        <f>SUM(D98:D118)</f>
        <v>149340</v>
      </c>
      <c r="E119" s="39">
        <f>SUM(E98:E118)</f>
        <v>493630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242</v>
      </c>
      <c r="C121" s="55" t="s">
        <v>240</v>
      </c>
      <c r="D121" s="56" t="s">
        <v>235</v>
      </c>
      <c r="E121" s="56" t="s">
        <v>153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f>TRUNC(3489,-1)</f>
        <v>3480</v>
      </c>
      <c r="E122" s="63">
        <f t="shared" ref="E122:E132" si="4">TRUNC(+D122*3.3058,-1)</f>
        <v>11500</v>
      </c>
    </row>
    <row r="123" spans="1:7" x14ac:dyDescent="0.3">
      <c r="A123" s="2">
        <v>2</v>
      </c>
      <c r="C123" s="38" t="s">
        <v>124</v>
      </c>
      <c r="D123" s="42">
        <v>0</v>
      </c>
      <c r="E123" s="64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TRUNC(1462,-1)</f>
        <v>1460</v>
      </c>
      <c r="E124" s="64">
        <f t="shared" si="4"/>
        <v>4820</v>
      </c>
    </row>
    <row r="125" spans="1:7" x14ac:dyDescent="0.3">
      <c r="A125" s="2">
        <v>4</v>
      </c>
      <c r="C125" s="38" t="s">
        <v>138</v>
      </c>
      <c r="D125" s="42">
        <f>TRUNC(7617,-1)</f>
        <v>7610</v>
      </c>
      <c r="E125" s="64">
        <f t="shared" si="4"/>
        <v>25150</v>
      </c>
    </row>
    <row r="126" spans="1:7" x14ac:dyDescent="0.3">
      <c r="A126" s="2">
        <v>5</v>
      </c>
      <c r="C126" s="38" t="s">
        <v>53</v>
      </c>
      <c r="D126" s="42">
        <v>0</v>
      </c>
      <c r="E126" s="64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4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TRUNC(6345,-1)</f>
        <v>6340</v>
      </c>
      <c r="E128" s="64">
        <f t="shared" si="4"/>
        <v>20950</v>
      </c>
    </row>
    <row r="129" spans="1:7" x14ac:dyDescent="0.3">
      <c r="A129" s="2">
        <v>8</v>
      </c>
      <c r="C129" s="38" t="s">
        <v>126</v>
      </c>
      <c r="D129" s="42">
        <v>0</v>
      </c>
      <c r="E129" s="64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TRUNC(15716,-1)</f>
        <v>15710</v>
      </c>
      <c r="E130" s="64">
        <f t="shared" si="4"/>
        <v>51930</v>
      </c>
    </row>
    <row r="131" spans="1:7" x14ac:dyDescent="0.3">
      <c r="A131" s="2">
        <v>10</v>
      </c>
      <c r="C131" s="38" t="s">
        <v>148</v>
      </c>
      <c r="D131" s="42">
        <f>TRUNC(15488,-1)</f>
        <v>15480</v>
      </c>
      <c r="E131" s="64">
        <f t="shared" si="4"/>
        <v>51170</v>
      </c>
    </row>
    <row r="132" spans="1:7" ht="17.25" thickBot="1" x14ac:dyDescent="0.35">
      <c r="A132" s="2">
        <v>11</v>
      </c>
      <c r="C132" s="38" t="s">
        <v>47</v>
      </c>
      <c r="D132" s="43">
        <f>TRUNC(3584,-1)</f>
        <v>3580</v>
      </c>
      <c r="E132" s="65">
        <f t="shared" si="4"/>
        <v>11830</v>
      </c>
    </row>
    <row r="133" spans="1:7" x14ac:dyDescent="0.3">
      <c r="A133" s="2">
        <v>12</v>
      </c>
      <c r="C133" s="27" t="s">
        <v>112</v>
      </c>
      <c r="D133" s="39">
        <f>SUM(D122:D132)</f>
        <v>53660</v>
      </c>
      <c r="E133" s="39">
        <f>SUM(E122:E132)</f>
        <v>177350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243</v>
      </c>
      <c r="C135" s="55" t="s">
        <v>240</v>
      </c>
      <c r="D135" s="56" t="s">
        <v>235</v>
      </c>
      <c r="E135" s="56" t="s">
        <v>153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3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TRUNC(94+2361+1189,-1)</f>
        <v>3640</v>
      </c>
      <c r="E137" s="64">
        <f t="shared" si="5"/>
        <v>12030</v>
      </c>
      <c r="F137" s="2" t="s">
        <v>258</v>
      </c>
    </row>
    <row r="138" spans="1:7" x14ac:dyDescent="0.3">
      <c r="A138" s="2">
        <v>3</v>
      </c>
      <c r="C138" s="38" t="s">
        <v>60</v>
      </c>
      <c r="D138" s="42">
        <f>TRUNC(162,-1)</f>
        <v>160</v>
      </c>
      <c r="E138" s="64">
        <f t="shared" si="5"/>
        <v>520</v>
      </c>
    </row>
    <row r="139" spans="1:7" x14ac:dyDescent="0.3">
      <c r="A139" s="2">
        <v>4</v>
      </c>
      <c r="C139" s="38" t="s">
        <v>61</v>
      </c>
      <c r="D139" s="42">
        <v>0</v>
      </c>
      <c r="E139" s="64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TRUNC(1072,-1)</f>
        <v>1070</v>
      </c>
      <c r="E140" s="64">
        <f t="shared" si="5"/>
        <v>3530</v>
      </c>
    </row>
    <row r="141" spans="1:7" x14ac:dyDescent="0.3">
      <c r="A141" s="2">
        <v>6</v>
      </c>
      <c r="C141" s="38" t="s">
        <v>59</v>
      </c>
      <c r="D141" s="42">
        <f>TRUNC(5892,-1)</f>
        <v>5890</v>
      </c>
      <c r="E141" s="64">
        <f t="shared" si="5"/>
        <v>19470</v>
      </c>
    </row>
    <row r="142" spans="1:7" x14ac:dyDescent="0.3">
      <c r="A142" s="2">
        <v>7</v>
      </c>
      <c r="C142" s="38" t="s">
        <v>58</v>
      </c>
      <c r="D142" s="42">
        <f>TRUNC(5666,-1)</f>
        <v>5660</v>
      </c>
      <c r="E142" s="64">
        <f t="shared" si="5"/>
        <v>18710</v>
      </c>
    </row>
    <row r="143" spans="1:7" x14ac:dyDescent="0.3">
      <c r="A143" s="2">
        <v>8</v>
      </c>
      <c r="C143" s="38" t="s">
        <v>62</v>
      </c>
      <c r="D143" s="42">
        <f>TRUNC(3534,-1)</f>
        <v>3530</v>
      </c>
      <c r="E143" s="64">
        <f t="shared" si="5"/>
        <v>11660</v>
      </c>
    </row>
    <row r="144" spans="1:7" x14ac:dyDescent="0.3">
      <c r="A144" s="2">
        <v>9</v>
      </c>
      <c r="C144" s="38" t="s">
        <v>63</v>
      </c>
      <c r="D144" s="42">
        <f>TRUNC(12719,-1)</f>
        <v>12710</v>
      </c>
      <c r="E144" s="64">
        <f t="shared" si="5"/>
        <v>42010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5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32660</v>
      </c>
      <c r="E146" s="39">
        <f>SUM(E136:E145)</f>
        <v>107930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244</v>
      </c>
      <c r="C148" s="55" t="s">
        <v>240</v>
      </c>
      <c r="D148" s="56" t="s">
        <v>235</v>
      </c>
      <c r="E148" s="56" t="s">
        <v>153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f>TRUNC(6238+1535,-1)</f>
        <v>7770</v>
      </c>
      <c r="E149" s="63">
        <f>TRUNC(+D149*3.3058,-1)</f>
        <v>25680</v>
      </c>
      <c r="F149" s="2" t="s">
        <v>259</v>
      </c>
    </row>
    <row r="150" spans="1:7" x14ac:dyDescent="0.3">
      <c r="A150" s="2">
        <v>2</v>
      </c>
      <c r="C150" s="38" t="s">
        <v>49</v>
      </c>
      <c r="D150" s="42">
        <f>8750</f>
        <v>8750</v>
      </c>
      <c r="E150" s="64">
        <f>TRUNC(+D150*3.3058,-1)</f>
        <v>28920</v>
      </c>
      <c r="F150" s="2" t="s">
        <v>259</v>
      </c>
    </row>
    <row r="151" spans="1:7" x14ac:dyDescent="0.3">
      <c r="A151" s="2">
        <v>3</v>
      </c>
      <c r="C151" s="38" t="s">
        <v>50</v>
      </c>
      <c r="D151" s="42">
        <f>TRUNC(1684,-1)</f>
        <v>1680</v>
      </c>
      <c r="E151" s="64">
        <f>TRUNC(+D151*3.3058,-1)</f>
        <v>5550</v>
      </c>
      <c r="F151" s="2" t="s">
        <v>259</v>
      </c>
    </row>
    <row r="152" spans="1:7" x14ac:dyDescent="0.3">
      <c r="A152" s="2">
        <v>4</v>
      </c>
      <c r="C152" s="38" t="s">
        <v>47</v>
      </c>
      <c r="D152" s="42">
        <f>TRUNC(6928+1790,-1)</f>
        <v>8710</v>
      </c>
      <c r="E152" s="64">
        <f>TRUNC(+D152*3.3058,-1)</f>
        <v>28790</v>
      </c>
      <c r="F152" s="58" t="s">
        <v>260</v>
      </c>
    </row>
    <row r="153" spans="1:7" ht="17.25" thickBot="1" x14ac:dyDescent="0.35">
      <c r="A153" s="2">
        <v>5</v>
      </c>
      <c r="C153" s="38" t="s">
        <v>148</v>
      </c>
      <c r="D153" s="43">
        <f>TRUNC(64723,-1)</f>
        <v>64720</v>
      </c>
      <c r="E153" s="65">
        <f>TRUNC(+D153*3.3058,-1)</f>
        <v>213950</v>
      </c>
      <c r="F153" s="2" t="s">
        <v>259</v>
      </c>
    </row>
    <row r="154" spans="1:7" x14ac:dyDescent="0.3">
      <c r="A154" s="2">
        <v>6</v>
      </c>
      <c r="C154" s="27" t="s">
        <v>112</v>
      </c>
      <c r="D154" s="39">
        <f>SUM(D149:D153)</f>
        <v>91630</v>
      </c>
      <c r="E154" s="39">
        <f>SUM(E149:E153)</f>
        <v>302890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245</v>
      </c>
      <c r="C156" s="55" t="s">
        <v>240</v>
      </c>
      <c r="D156" s="56" t="s">
        <v>235</v>
      </c>
      <c r="E156" s="56" t="s">
        <v>153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f>TRUNC(27877,-1)</f>
        <v>27870</v>
      </c>
      <c r="E157" s="63">
        <f>TRUNC(+D157*3.3058,-1)</f>
        <v>92130</v>
      </c>
    </row>
    <row r="158" spans="1:7" x14ac:dyDescent="0.3">
      <c r="A158" s="2">
        <v>2</v>
      </c>
      <c r="C158" s="38" t="s">
        <v>52</v>
      </c>
      <c r="D158" s="42">
        <f>TRUNC(9249,-1)</f>
        <v>9240</v>
      </c>
      <c r="E158" s="64">
        <f>TRUNC(+D158*3.3058,-1)</f>
        <v>30540</v>
      </c>
    </row>
    <row r="159" spans="1:7" x14ac:dyDescent="0.3">
      <c r="A159" s="2">
        <v>3</v>
      </c>
      <c r="C159" s="38" t="s">
        <v>47</v>
      </c>
      <c r="D159" s="42">
        <f>TRUNC(5871+208,-1)</f>
        <v>6070</v>
      </c>
      <c r="E159" s="64">
        <f>TRUNC(+D159*3.3058,-1)</f>
        <v>20060</v>
      </c>
      <c r="F159" s="2" t="s">
        <v>261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43180</v>
      </c>
      <c r="E161" s="39">
        <f>SUM(E157:E160)</f>
        <v>142730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2020-12-07T09:58:33Z</dcterms:modified>
</cp:coreProperties>
</file>