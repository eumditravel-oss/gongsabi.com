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29" i="4"/>
  <c r="D132" i="4"/>
  <c r="D125" i="4"/>
  <c r="D127" i="4"/>
  <c r="D122" i="4"/>
  <c r="D123" i="4"/>
  <c r="D130" i="4"/>
  <c r="D144" i="4"/>
  <c r="D141" i="4"/>
  <c r="D137" i="4"/>
  <c r="D140" i="4"/>
  <c r="D93" i="4"/>
  <c r="D94" i="4"/>
  <c r="D90" i="4"/>
  <c r="D81" i="4"/>
  <c r="D72" i="4"/>
  <c r="D79" i="4"/>
  <c r="D71" i="4"/>
  <c r="D69" i="4"/>
  <c r="D58" i="4"/>
  <c r="D59" i="4"/>
  <c r="D53" i="4"/>
  <c r="D52" i="4"/>
  <c r="D51" i="4"/>
  <c r="D50" i="4"/>
  <c r="D49" i="4"/>
  <c r="D48" i="4"/>
  <c r="D55" i="4"/>
  <c r="D44" i="4"/>
  <c r="D45" i="4"/>
  <c r="D46" i="4"/>
  <c r="D43" i="4"/>
  <c r="D41" i="4"/>
  <c r="D40" i="4"/>
  <c r="D152" i="4"/>
  <c r="D151" i="4"/>
  <c r="D63" i="4"/>
  <c r="D159" i="4"/>
  <c r="D15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19" i="4" l="1"/>
  <c r="E133" i="4"/>
  <c r="E146" i="4"/>
  <c r="E95" i="4"/>
  <c r="E60" i="4"/>
  <c r="E154" i="4"/>
  <c r="D161" i="4"/>
  <c r="D32" i="4" s="1"/>
  <c r="D154" i="4"/>
  <c r="D31" i="4" s="1"/>
  <c r="E31" i="4" s="1"/>
  <c r="D146" i="4"/>
  <c r="D30" i="4" s="1"/>
  <c r="E30" i="4" s="1"/>
  <c r="D133" i="4"/>
  <c r="D119" i="4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8" i="4"/>
  <c r="E28" i="4" s="1"/>
  <c r="D29" i="4"/>
  <c r="E29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2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<sst xmlns="http://schemas.openxmlformats.org/spreadsheetml/2006/main" count="392" uniqueCount="267">
  <si>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</si>
  <si>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</si>
  <si>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</si>
  <si>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</si>
  <si>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</si>
  <si>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</si>
  <si>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</si>
  <si>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</si>
  <si>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</si>
  <si>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</si>
  <si>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</si>
  <si>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</si>
  <si>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</si>
  <si>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</si>
  <si>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</si>
  <si>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</si>
  <si>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</si>
  <si>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</si>
  <si>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</si>
  <si>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</si>
  <si>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</si>
  <si>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</si>
  <si>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</si>
  <si>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</si>
  <si>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</si>
  <si>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</si>
  <si>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</si>
  <si>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</si>
  <si>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</si>
  <si>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</si>
  <si>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</si>
  <si>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</si>
  <si>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</si>
  <si>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</si>
  <si>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</si>
  <si>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</si>
  <si>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</si>
  <si>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</si>
  <si>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</si>
  <si>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</si>
  <si>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</si>
  <si>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</si>
  <si>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</si>
  <si>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</si>
  <si>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</si>
  <si>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</si>
  <si>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</si>
  <si>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</si>
  <si>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</si>
  <si>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</si>
  <si>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</si>
  <si>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</si>
  <si>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</si>
  <si>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</si>
  <si>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</si>
  <si>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</si>
  <si>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</si>
  <si>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</si>
  <si>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</si>
  <si>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</si>
  <si>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</si>
  <si>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</si>
  <si>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</si>
  <si>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</si>
  <si>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</si>
  <si>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</si>
  <si>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</si>
  <si>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</si>
  <si>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</si>
  <si>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</si>
  <si>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</si>
  <si>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</si>
  <si>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</si>
  <si>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</si>
  <si>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</si>
  <si>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</si>
  <si>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</si>
  <si>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</si>
  <si>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</si>
  <si>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</si>
  <si>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</si>
  <si>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</si>
  <si>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</si>
  <si>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</si>
  <si>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</si>
  <si>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</si>
  <si>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</si>
  <si>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</si>
  <si>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</si>
  <si>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</si>
  <si>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</si>
  <si>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</si>
  <si>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</si>
  <si>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</si>
  <si>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</si>
  <si>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</si>
  <si>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</si>
  <si>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</si>
  <si>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</si>
  <si>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</si>
  <si>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</si>
  <si>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</si>
  <si>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</si>
  <si>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</si>
  <si>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</si>
  <si>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</si>
  <si>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</si>
  <si>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</si>
  <si>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</si>
  <si>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</si>
  <si>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</si>
  <si>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</si>
  <si>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</si>
  <si>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</si>
  <si>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</si>
  <si>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</si>
  <si>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</si>
  <si>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</si>
  <si>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</si>
  <si>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</si>
  <si>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</si>
  <si>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</si>
  <si>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</si>
  <si>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</si>
  <si>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</si>
  <si>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</si>
  <si>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</si>
  <si>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</si>
  <si>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</si>
  <si>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</si>
  <si>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</si>
  <si>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</si>
  <si>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</si>
  <si>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</si>
  <si>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</si>
  <si>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</si>
  <si>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</si>
  <si>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</si>
  <si>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</si>
  <si>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</si>
  <si>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</si>
  <si>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</si>
  <si>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</si>
  <si>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</si>
  <si>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</si>
  <si>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</si>
  <si>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</si>
  <si>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</si>
  <si>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</si>
  <si>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</si>
  <si>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</si>
  <si>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</si>
  <si>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</si>
  <si>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</si>
  <si>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</si>
  <si>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</si>
  <si>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</si>
  <si>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</si>
  <si>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</si>
  <si>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</si>
  <si>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</si>
  <si>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</si>
  <si>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</si>
  <si>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</si>
  <si>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</si>
  <si>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</si>
  <si>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</si>
  <si>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</si>
  <si>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</si>
  <si>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</si>
  <si>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</si>
  <si>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</si>
  <si>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</si>
  <si>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</si>
  <si>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</si>
  <si>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</si>
  <si>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</si>
  <si>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</si>
  <si>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</si>
  <si>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</si>
  <si>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</si>
  <si>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</si>
  <si>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</si>
  <si>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</si>
  <si>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</si>
  <si>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</si>
  <si>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</si>
  <si>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</si>
  <si>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</si>
  <si>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</si>
  <si>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</si>
  <si>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</si>
  <si>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</si>
  <si>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</si>
  <si>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</si>
  <si>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</si>
  <si>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</si>
  <si>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</si>
  <si>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</si>
  <si>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</si>
  <si>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</si>
  <si>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</si>
  <si>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</si>
  <si>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</si>
  <si>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</si>
  <si>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</si>
  <si>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</si>
  <si>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</si>
  <si>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</si>
  <si>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</si>
  <si>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</si>
  <si>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</si>
  <si>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</si>
  <si>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</si>
  <si>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</si>
  <si>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</si>
  <si>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</si>
  <si>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</si>
  <si>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</si>
  <si>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</si>
  <si>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</si>
  <si>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</si>
  <si>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</si>
  <si>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</si>
  <si>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</si>
  <si>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</si>
  <si>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</si>
  <si>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</si>
  <si>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</si>
  <si>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</si>
  <si>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</si>
  <si>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</si>
  <si>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</si>
  <si>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</si>
  <si>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</si>
  <si>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</si>
  <si>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</si>
  <si>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</si>
  <si>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</si>
  <si>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</si>
  <si>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</si>
  <si>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</si>
  <si>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</si>
  <si>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</si>
  <si>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</si>
  <si>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</si>
  <si>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</si>
  <si>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</si>
  <si>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00대학교 천안캠퍼스 제8공학관 신축공사</t>
  </si>
  <si>
    <t>교육연구</t>
  </si>
  <si>
    <t>충청도</t>
  </si>
  <si>
    <t>포장공사</t>
    <phoneticPr fontId="2" type="noConversion"/>
  </si>
  <si>
    <t>배수공사,상수공사,운반공,골재대</t>
    <phoneticPr fontId="2" type="noConversion"/>
  </si>
  <si>
    <t>지정및토공사,정화조공사,주요자재비,운반비,작업부산물</t>
    <phoneticPr fontId="2" type="noConversion"/>
  </si>
  <si>
    <t>환기덕트설치공사</t>
  </si>
  <si>
    <t>난방배관공사,위생배관공사,제요율적용 제외공종</t>
    <phoneticPr fontId="2" type="noConversion"/>
  </si>
  <si>
    <t>기계</t>
    <phoneticPr fontId="2" type="noConversion"/>
  </si>
  <si>
    <t>기계실 소화배관공사,기계 소화배관공사</t>
    <phoneticPr fontId="2" type="noConversion"/>
  </si>
  <si>
    <t>전기소방공사 자탐설비공사</t>
    <phoneticPr fontId="2" type="noConversion"/>
  </si>
  <si>
    <t>LAN 설비공사,</t>
    <phoneticPr fontId="2" type="noConversion"/>
  </si>
  <si>
    <t>접지설비공사</t>
  </si>
  <si>
    <t>TRAY설비공사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</si>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</sst>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9532</v>
      </c>
      <c r="D7" s="36">
        <f>+C7/3.3058</f>
        <v>2883.4170246233894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415190</v>
      </c>
      <c r="E25" s="59">
        <f t="shared" si="0"/>
        <v>1372530</v>
      </c>
    </row>
    <row r="26" spans="1:5" x14ac:dyDescent="0.3">
      <c r="B26" s="2">
        <v>3</v>
      </c>
      <c r="C26" s="35" t="s">
        <v>95</v>
      </c>
      <c r="D26" s="45">
        <f>+D66</f>
        <v>3560</v>
      </c>
      <c r="E26" s="59">
        <f t="shared" si="0"/>
        <v>11760</v>
      </c>
    </row>
    <row r="27" spans="1:5" x14ac:dyDescent="0.3">
      <c r="B27" s="2">
        <v>4</v>
      </c>
      <c r="C27" s="35" t="s">
        <v>96</v>
      </c>
      <c r="D27" s="45">
        <f>+D95</f>
        <v>143790</v>
      </c>
      <c r="E27" s="59">
        <f t="shared" si="0"/>
        <v>475340</v>
      </c>
    </row>
    <row r="28" spans="1:5" x14ac:dyDescent="0.3">
      <c r="B28" s="2">
        <v>5</v>
      </c>
      <c r="C28" s="35" t="s">
        <v>97</v>
      </c>
      <c r="D28" s="45">
        <f>+D119</f>
        <v>0</v>
      </c>
      <c r="E28" s="59">
        <f t="shared" si="0"/>
        <v>0</v>
      </c>
    </row>
    <row r="29" spans="1:5" x14ac:dyDescent="0.3">
      <c r="B29" s="2">
        <v>6</v>
      </c>
      <c r="C29" s="35" t="s">
        <v>98</v>
      </c>
      <c r="D29" s="45">
        <f>+D133</f>
        <v>50090</v>
      </c>
      <c r="E29" s="59">
        <f t="shared" si="0"/>
        <v>165580</v>
      </c>
    </row>
    <row r="30" spans="1:5" x14ac:dyDescent="0.3">
      <c r="B30" s="2">
        <v>7</v>
      </c>
      <c r="C30" s="35" t="s">
        <v>99</v>
      </c>
      <c r="D30" s="45">
        <f>+D146</f>
        <v>27530</v>
      </c>
      <c r="E30" s="59">
        <f t="shared" si="0"/>
        <v>91000</v>
      </c>
    </row>
    <row r="31" spans="1:5" x14ac:dyDescent="0.3">
      <c r="B31" s="2">
        <v>8</v>
      </c>
      <c r="C31" s="35" t="s">
        <v>100</v>
      </c>
      <c r="D31" s="45">
        <f>+D154</f>
        <v>19370</v>
      </c>
      <c r="E31" s="59">
        <f t="shared" si="0"/>
        <v>64030</v>
      </c>
    </row>
    <row r="32" spans="1:5" x14ac:dyDescent="0.3">
      <c r="B32" s="2">
        <v>9</v>
      </c>
      <c r="C32" s="35" t="s">
        <v>101</v>
      </c>
      <c r="D32" s="45">
        <f>+D161</f>
        <v>16720</v>
      </c>
      <c r="E32" s="59">
        <f t="shared" si="0"/>
        <v>55270</v>
      </c>
    </row>
    <row r="33" spans="1:7" x14ac:dyDescent="0.3">
      <c r="B33" s="2">
        <v>10</v>
      </c>
      <c r="C33" s="35" t="s">
        <v>154</v>
      </c>
      <c r="D33" s="53">
        <f>TRUNC(SUM(D24:D32)*0.275,-1)</f>
        <v>185960</v>
      </c>
      <c r="E33" s="60">
        <f t="shared" si="0"/>
        <v>614740</v>
      </c>
    </row>
    <row r="34" spans="1:7" x14ac:dyDescent="0.3">
      <c r="C34" s="35" t="s">
        <v>112</v>
      </c>
      <c r="D34" s="44">
        <f>SUM(D24:D33)</f>
        <v>862210</v>
      </c>
      <c r="E34" s="44">
        <f>SUM(E24:E33)</f>
        <v>2850250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TRUNC(22178.3065463701,-1)</f>
        <v>22170</v>
      </c>
      <c r="E40" s="62">
        <f t="shared" ref="E40:E59" si="1">TRUNC(+D40*3.3058,-1)</f>
        <v>73280</v>
      </c>
    </row>
    <row r="41" spans="1:7" x14ac:dyDescent="0.3">
      <c r="A41" s="2">
        <v>2</v>
      </c>
      <c r="C41" s="38" t="s">
        <v>13</v>
      </c>
      <c r="D41" s="42">
        <f>TRUNC(96735.8916281998,-1)</f>
        <v>96730</v>
      </c>
      <c r="E41" s="63">
        <f t="shared" si="1"/>
        <v>319770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TRUNC(14557.327843055,-1)</f>
        <v>14550</v>
      </c>
      <c r="E43" s="63">
        <f t="shared" si="1"/>
        <v>48090</v>
      </c>
    </row>
    <row r="44" spans="1:7" x14ac:dyDescent="0.3">
      <c r="A44" s="2">
        <v>5</v>
      </c>
      <c r="C44" s="38" t="s">
        <v>17</v>
      </c>
      <c r="D44" s="42">
        <f>TRUNC(9856.06724716744,-1)</f>
        <v>9850</v>
      </c>
      <c r="E44" s="63">
        <f t="shared" si="1"/>
        <v>32560</v>
      </c>
    </row>
    <row r="45" spans="1:7" x14ac:dyDescent="0.3">
      <c r="A45" s="2">
        <v>6</v>
      </c>
      <c r="C45" s="38" t="s">
        <v>18</v>
      </c>
      <c r="D45" s="42">
        <f>TRUNC(4693.66344943349,-1)</f>
        <v>4690</v>
      </c>
      <c r="E45" s="63">
        <f t="shared" si="1"/>
        <v>15500</v>
      </c>
    </row>
    <row r="46" spans="1:7" x14ac:dyDescent="0.3">
      <c r="A46" s="2">
        <v>7</v>
      </c>
      <c r="C46" s="38" t="s">
        <v>19</v>
      </c>
      <c r="D46" s="42">
        <f>TRUNC(293.013008812421,-1)</f>
        <v>290</v>
      </c>
      <c r="E46" s="63">
        <f t="shared" si="1"/>
        <v>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TRUNC(40066.4234158624,-1)</f>
        <v>40060</v>
      </c>
      <c r="E48" s="63">
        <f t="shared" si="1"/>
        <v>132430</v>
      </c>
    </row>
    <row r="49" spans="1:7" x14ac:dyDescent="0.3">
      <c r="A49" s="2">
        <v>10</v>
      </c>
      <c r="C49" s="38" t="s">
        <v>22</v>
      </c>
      <c r="D49" s="42">
        <f>TRUNC(20236.1419429291,-1)</f>
        <v>20230</v>
      </c>
      <c r="E49" s="63">
        <f t="shared" si="1"/>
        <v>66870</v>
      </c>
    </row>
    <row r="50" spans="1:7" x14ac:dyDescent="0.3">
      <c r="A50" s="2">
        <v>11</v>
      </c>
      <c r="C50" s="38" t="s">
        <v>155</v>
      </c>
      <c r="D50" s="42">
        <f>TRUNC(15616.4539446076,-1)</f>
        <v>15610</v>
      </c>
      <c r="E50" s="63">
        <f t="shared" si="1"/>
        <v>51600</v>
      </c>
    </row>
    <row r="51" spans="1:7" x14ac:dyDescent="0.3">
      <c r="A51" s="2">
        <v>12</v>
      </c>
      <c r="C51" s="38" t="s">
        <v>23</v>
      </c>
      <c r="D51" s="42">
        <f>TRUNC(6376.60690306337,-1)</f>
        <v>6370</v>
      </c>
      <c r="E51" s="63">
        <f t="shared" si="1"/>
        <v>21050</v>
      </c>
    </row>
    <row r="52" spans="1:7" x14ac:dyDescent="0.3">
      <c r="A52" s="2">
        <v>13</v>
      </c>
      <c r="C52" s="38" t="s">
        <v>24</v>
      </c>
      <c r="D52" s="42">
        <f>TRUNC(11829.9526856903,-1)</f>
        <v>11820</v>
      </c>
      <c r="E52" s="63">
        <f t="shared" si="1"/>
        <v>39070</v>
      </c>
    </row>
    <row r="53" spans="1:7" x14ac:dyDescent="0.3">
      <c r="A53" s="2">
        <v>14</v>
      </c>
      <c r="C53" s="38" t="s">
        <v>25</v>
      </c>
      <c r="D53" s="42">
        <f>TRUNC(35716.6022870332,-1)</f>
        <v>35710</v>
      </c>
      <c r="E53" s="63">
        <f t="shared" si="1"/>
        <v>118050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TRUNC(1473.63334032732,-1)</f>
        <v>1470</v>
      </c>
      <c r="E55" s="63">
        <f t="shared" si="1"/>
        <v>4850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TRUNC(8379.43684431389+1169.53420058749+1275.70289550986+1662.36267310113-444.10931598825,-1)</f>
        <v>12040</v>
      </c>
      <c r="E58" s="63">
        <f t="shared" si="1"/>
        <v>39800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TRUNC(87988.459924465+35616.9744020143,-1)</f>
        <v>123600</v>
      </c>
      <c r="E59" s="64">
        <f t="shared" si="1"/>
        <v>408590</v>
      </c>
    </row>
    <row r="60" spans="1:7" x14ac:dyDescent="0.3">
      <c r="A60" s="2">
        <v>21</v>
      </c>
      <c r="C60" s="27" t="s">
        <v>112</v>
      </c>
      <c r="D60" s="39">
        <f>SUM(D40:D59)</f>
        <v>415190</v>
      </c>
      <c r="E60" s="39">
        <f>SUM(E40:E59)</f>
        <v>1372460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TRUNC(3563.31945027277,-1)</f>
        <v>3560</v>
      </c>
      <c r="E63" s="62">
        <f>TRUNC(+D63*3.3058,-1)</f>
        <v>11760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3560</v>
      </c>
      <c r="E66" s="65">
        <f>SUM(E63:E65)</f>
        <v>11760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TRUNC(6567.99339068401,-1)</f>
        <v>6560</v>
      </c>
      <c r="E69" s="62">
        <f t="shared" ref="E69:E94" si="2">TRUNC(+D69*3.3058,-1)</f>
        <v>21680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TRUNC(2843.30874947545,-1)</f>
        <v>2840</v>
      </c>
      <c r="E71" s="63">
        <f t="shared" si="2"/>
        <v>9380</v>
      </c>
    </row>
    <row r="72" spans="1:7" x14ac:dyDescent="0.3">
      <c r="A72" s="2">
        <v>4</v>
      </c>
      <c r="C72" s="38" t="s">
        <v>33</v>
      </c>
      <c r="D72" s="42">
        <f>TRUNC(4184.09903483005,-1)</f>
        <v>4180</v>
      </c>
      <c r="E72" s="63">
        <f t="shared" si="2"/>
        <v>13810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TRUNC(4306.84169114562,-1)</f>
        <v>4300</v>
      </c>
      <c r="E79" s="63">
        <f t="shared" si="2"/>
        <v>14210</v>
      </c>
      <c r="F79" s="2" t="s">
        <v>254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TRUNC(2060.67037347881,-1)</f>
        <v>2060</v>
      </c>
      <c r="E81" s="63">
        <f t="shared" si="2"/>
        <v>6800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TRUNC(977.534515316828,-1)</f>
        <v>970</v>
      </c>
      <c r="E90" s="63">
        <f t="shared" si="2"/>
        <v>3200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TRUNC(101049.517415023,-1)</f>
        <v>101040</v>
      </c>
      <c r="E93" s="63">
        <f t="shared" si="2"/>
        <v>334010</v>
      </c>
    </row>
    <row r="94" spans="1:7" ht="17.25" thickBot="1" x14ac:dyDescent="0.35">
      <c r="A94" s="2">
        <v>26</v>
      </c>
      <c r="C94" s="38" t="s">
        <v>47</v>
      </c>
      <c r="D94" s="43">
        <f>TRUNC(1696.52213596307+18308.3949853126+1840.50031472933,-1)</f>
        <v>21840</v>
      </c>
      <c r="E94" s="64">
        <f t="shared" si="2"/>
        <v>72190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143790</v>
      </c>
      <c r="E95" s="39">
        <f>SUM(E69:E94)</f>
        <v>475280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0</v>
      </c>
      <c r="E119" s="39">
        <f>SUM(E98:E118)</f>
        <v>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TRUNC(2244.62169534201,-1)</f>
        <v>2240</v>
      </c>
      <c r="E122" s="62">
        <f t="shared" ref="E122:E132" si="4">TRUNC(+D122*3.3058,-1)</f>
        <v>7400</v>
      </c>
    </row>
    <row r="123" spans="1:7" x14ac:dyDescent="0.3">
      <c r="A123" s="2">
        <v>2</v>
      </c>
      <c r="C123" s="38" t="s">
        <v>124</v>
      </c>
      <c r="D123" s="42">
        <f>TRUNC(1585.46936634494,-1)</f>
        <v>1580</v>
      </c>
      <c r="E123" s="63">
        <f t="shared" si="4"/>
        <v>5220</v>
      </c>
      <c r="F123" s="2" t="s">
        <v>259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TRUNC(3090.25755350399,-1)</f>
        <v>3090</v>
      </c>
      <c r="E125" s="63">
        <f t="shared" si="4"/>
        <v>10210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TRUNC(690.657784305497,-1)</f>
        <v>690</v>
      </c>
      <c r="E127" s="63">
        <f t="shared" si="4"/>
        <v>2280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f>TRUNC(3572.71747796895,-1)</f>
        <v>3570</v>
      </c>
      <c r="E129" s="63">
        <f t="shared" si="4"/>
        <v>11800</v>
      </c>
      <c r="F129" s="2" t="s">
        <v>261</v>
      </c>
    </row>
    <row r="130" spans="1:7" ht="17.25" customHeight="1" x14ac:dyDescent="0.3">
      <c r="A130" s="2">
        <v>9</v>
      </c>
      <c r="C130" s="38" t="s">
        <v>54</v>
      </c>
      <c r="D130" s="42">
        <f>TRUNC(17657.4491187579,-1)</f>
        <v>17650</v>
      </c>
      <c r="E130" s="63">
        <f t="shared" si="4"/>
        <v>58340</v>
      </c>
    </row>
    <row r="131" spans="1:7" x14ac:dyDescent="0.3">
      <c r="A131" s="2">
        <v>10</v>
      </c>
      <c r="C131" s="38" t="s">
        <v>148</v>
      </c>
      <c r="D131" s="42">
        <f>TRUNC(20996.9576164499,-1)</f>
        <v>20990</v>
      </c>
      <c r="E131" s="63">
        <f t="shared" si="4"/>
        <v>69380</v>
      </c>
    </row>
    <row r="132" spans="1:7" ht="18" thickBot="1" x14ac:dyDescent="0.35">
      <c r="A132" s="2">
        <v>11</v>
      </c>
      <c r="C132" s="38" t="s">
        <v>47</v>
      </c>
      <c r="D132" s="43">
        <f>TRUNC(283.867708770457,-1)</f>
        <v>280</v>
      </c>
      <c r="E132" s="64">
        <f t="shared" si="4"/>
        <v>920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50090</v>
      </c>
      <c r="E133" s="39">
        <f>SUM(E122:E132)</f>
        <v>165550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TRUNC(1244.55182543013+3666.81808644566,-1)</f>
        <v>4910</v>
      </c>
      <c r="E137" s="63">
        <f t="shared" si="5"/>
        <v>16230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TRUNC(1709.13795635753,-1)</f>
        <v>1700</v>
      </c>
      <c r="E140" s="63">
        <f t="shared" si="5"/>
        <v>5610</v>
      </c>
      <c r="F140" s="2" t="s">
        <v>256</v>
      </c>
    </row>
    <row r="141" spans="1:7" x14ac:dyDescent="0.3">
      <c r="A141" s="2">
        <v>6</v>
      </c>
      <c r="C141" s="38" t="s">
        <v>59</v>
      </c>
      <c r="D141" s="42">
        <f>TRUNC(14890.1476080571,-1)</f>
        <v>14890</v>
      </c>
      <c r="E141" s="63">
        <f t="shared" si="5"/>
        <v>49220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TRUNC(6034.27370960974,-1)</f>
        <v>6030</v>
      </c>
      <c r="E144" s="63">
        <f t="shared" si="5"/>
        <v>19930</v>
      </c>
      <c r="F144" s="2" t="s">
        <v>258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27530</v>
      </c>
      <c r="E146" s="39">
        <f>SUM(E136:E145)</f>
        <v>90990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f>TRUNC(9782.71684851028,-1)</f>
        <v>9780</v>
      </c>
      <c r="E151" s="63">
        <f>TRUNC(+D151*3.3058,-1)</f>
        <v>32330</v>
      </c>
    </row>
    <row r="152" spans="1:7" x14ac:dyDescent="0.3">
      <c r="A152" s="2">
        <v>4</v>
      </c>
      <c r="C152" s="38" t="s">
        <v>47</v>
      </c>
      <c r="D152" s="42">
        <f>TRUNC(7616.33015107008+1207.45499370541+357.149916072178+417.645824590852,-1)</f>
        <v>9590</v>
      </c>
      <c r="E152" s="63">
        <f>TRUNC(+D152*3.3058,-1)</f>
        <v>31700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19370</v>
      </c>
      <c r="E154" s="39">
        <f>SUM(E149:E153)</f>
        <v>64030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f>TRUNC(5126.73237515736,-1)</f>
        <v>5120</v>
      </c>
      <c r="E158" s="63">
        <f>TRUNC(+D158*3.3058,-1)</f>
        <v>16920</v>
      </c>
    </row>
    <row r="159" spans="1:7" x14ac:dyDescent="0.3">
      <c r="A159" s="2">
        <v>3</v>
      </c>
      <c r="C159" s="38" t="s">
        <v>47</v>
      </c>
      <c r="D159" s="42">
        <f>TRUNC(11600.6776122535,-1)</f>
        <v>11600</v>
      </c>
      <c r="E159" s="63">
        <f>TRUNC(+D159*3.3058,-1)</f>
        <v>38340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16720</v>
      </c>
      <c r="E161" s="39">
        <f>SUM(E157:E160)</f>
        <v>55260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2020-12-07T09:21:46Z</dcterms:modified>
</cp:coreProperties>
</file>