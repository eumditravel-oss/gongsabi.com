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3" i="4"/>
  <c r="D152" i="4"/>
  <c r="D151" i="4"/>
  <c r="D149" i="4"/>
  <c r="D145" i="4"/>
  <c r="D144" i="4"/>
  <c r="D143" i="4"/>
  <c r="D140" i="4"/>
  <c r="D139" i="4"/>
  <c r="D137" i="4"/>
  <c r="D132" i="4"/>
  <c r="D131" i="4"/>
  <c r="D130" i="4"/>
  <c r="D128" i="4"/>
  <c r="D127" i="4"/>
  <c r="D126" i="4"/>
  <c r="D125" i="4"/>
  <c r="D118" i="4"/>
  <c r="D117" i="4"/>
  <c r="D116" i="4"/>
  <c r="D114" i="4"/>
  <c r="D105" i="4"/>
  <c r="D104" i="4"/>
  <c r="D102" i="4"/>
  <c r="D101" i="4"/>
  <c r="D98" i="4"/>
  <c r="D94" i="4"/>
  <c r="D93" i="4"/>
  <c r="D91" i="4"/>
  <c r="D90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<sst xmlns="http://schemas.openxmlformats.org/spreadsheetml/2006/main" count="392" uniqueCount="267">
  <si>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</si>
  <si>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</si>
  <si>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</si>
  <si>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</si>
  <si>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</si>
  <si>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</si>
  <si>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</si>
  <si>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</si>
  <si>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</si>
  <si>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</si>
  <si>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</si>
  <si>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</si>
  <si>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</si>
  <si>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</si>
  <si>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</si>
  <si>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</si>
  <si>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</si>
  <si>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</si>
  <si>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</si>
  <si>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</si>
  <si>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</si>
  <si>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</si>
  <si>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</si>
  <si>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</si>
  <si>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</si>
  <si>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</si>
  <si>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</si>
  <si>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</si>
  <si>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</si>
  <si>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</si>
  <si>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</si>
  <si>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</si>
  <si>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</si>
  <si>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</si>
  <si>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</si>
  <si>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</si>
  <si>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</si>
  <si>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</si>
  <si>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</si>
  <si>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</si>
  <si>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</si>
  <si>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</si>
  <si>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</si>
  <si>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</si>
  <si>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</si>
  <si>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</si>
  <si>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</si>
  <si>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</si>
  <si>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</si>
  <si>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</si>
  <si>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</si>
  <si>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</si>
  <si>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</si>
  <si>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</si>
  <si>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</si>
  <si>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</si>
  <si>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</si>
  <si>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</si>
  <si>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</si>
  <si>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</si>
  <si>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</si>
  <si>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</si>
  <si>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</si>
  <si>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</si>
  <si>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</si>
  <si>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</si>
  <si>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</si>
  <si>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</si>
  <si>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</si>
  <si>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</si>
  <si>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</si>
  <si>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</si>
  <si>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</si>
  <si>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</si>
  <si>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</si>
  <si>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</si>
  <si>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</si>
  <si>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</si>
  <si>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</si>
  <si>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</si>
  <si>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</si>
  <si>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</si>
  <si>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</si>
  <si>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</si>
  <si>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</si>
  <si>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</si>
  <si>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</si>
  <si>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</si>
  <si>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</si>
  <si>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</si>
  <si>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</si>
  <si>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</si>
  <si>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</si>
  <si>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</si>
  <si>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</si>
  <si>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</si>
  <si>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</si>
  <si>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</si>
  <si>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</si>
  <si>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</si>
  <si>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</si>
  <si>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</si>
  <si>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</si>
  <si>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</si>
  <si>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</si>
  <si>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</si>
  <si>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</si>
  <si>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</si>
  <si>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</si>
  <si>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</si>
  <si>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</si>
  <si>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</si>
  <si>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</si>
  <si>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</si>
  <si>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</si>
  <si>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</si>
  <si>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</si>
  <si>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</si>
  <si>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</si>
  <si>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</si>
  <si>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</si>
  <si>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</si>
  <si>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</si>
  <si>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</si>
  <si>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</si>
  <si>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</si>
  <si>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</si>
  <si>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</si>
  <si>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</si>
  <si>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</si>
  <si>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</si>
  <si>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</si>
  <si>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</si>
  <si>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</si>
  <si>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</si>
  <si>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</si>
  <si>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</si>
  <si>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</si>
  <si>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</si>
  <si>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</si>
  <si>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</si>
  <si>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</si>
  <si>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</si>
  <si>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</si>
  <si>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</si>
  <si>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</si>
  <si>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</si>
  <si>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</si>
  <si>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</si>
  <si>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</si>
  <si>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</si>
  <si>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</si>
  <si>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</si>
  <si>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</si>
  <si>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</si>
  <si>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</si>
  <si>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</si>
  <si>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</si>
  <si>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</si>
  <si>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</si>
  <si>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</si>
  <si>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</si>
  <si>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</si>
  <si>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</si>
  <si>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</si>
  <si>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</si>
  <si>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</si>
  <si>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</si>
  <si>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</si>
  <si>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</si>
  <si>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</si>
  <si>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</si>
  <si>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</si>
  <si>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</si>
  <si>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</si>
  <si>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</si>
  <si>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</si>
  <si>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</si>
  <si>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</si>
  <si>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</si>
  <si>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</si>
  <si>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</si>
  <si>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</si>
  <si>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</si>
  <si>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</si>
  <si>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</si>
  <si>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</si>
  <si>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</si>
  <si>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</si>
  <si>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</si>
  <si>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</si>
  <si>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</si>
  <si>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</si>
  <si>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</si>
  <si>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</si>
  <si>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</si>
  <si>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</si>
  <si>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</si>
  <si>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</si>
  <si>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</si>
  <si>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</si>
  <si>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</si>
  <si>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</si>
  <si>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</si>
  <si>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</si>
  <si>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</si>
  <si>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</si>
  <si>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</si>
  <si>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</si>
  <si>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</si>
  <si>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</si>
  <si>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</si>
  <si>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</si>
  <si>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</si>
  <si>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</si>
  <si>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</si>
  <si>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</si>
  <si>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</si>
  <si>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</si>
  <si>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</si>
  <si>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</si>
  <si>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</si>
  <si>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</si>
  <si>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</si>
  <si>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</si>
  <si>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</si>
  <si>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</si>
  <si>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</si>
  <si>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</si>
  <si>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</si>
  <si>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</si>
  <si>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</si>
  <si>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</si>
  <si>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</si>
  <si>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</si>
  <si>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</si>
  <si>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</si>
  <si>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</si>
  <si>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</si>
  <si>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</si>
  <si>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</si>
  <si>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</si>
  <si>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</si>
  <si>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</si>
  <si>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</si>
  <si>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</si>
  <si>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</si>
  <si>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</si>
  <si>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</si>
  <si>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</si>
  <si>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</si>
  <si>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</si>
  <si>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</si>
  <si>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교육연구</t>
  </si>
  <si>
    <t>가축유전자원센터 이전사업</t>
    <phoneticPr fontId="2" type="noConversion"/>
  </si>
  <si>
    <t>경상도</t>
  </si>
  <si>
    <t>기초공사, 폐기물처리비, 골재비및운반비, 작업부산물, 기타공사</t>
    <phoneticPr fontId="2" type="noConversion"/>
  </si>
  <si>
    <t>공조배관공사, 난방배관공사, 바닥난방공사, 기타공사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</si>
  <si>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</si>
  <si>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</si>
  <si>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토목 상수도공사, 사급자재비, 운반비.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</si>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</sst>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27020.01</v>
      </c>
      <c r="D7" s="36">
        <f>+C7/3.3058</f>
        <v>8173.5162441769007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657600</v>
      </c>
      <c r="E25" s="59">
        <f t="shared" si="0"/>
        <v>2173890</v>
      </c>
    </row>
    <row r="26" spans="1:5" x14ac:dyDescent="0.3">
      <c r="B26" s="2">
        <v>3</v>
      </c>
      <c r="C26" s="35" t="s">
        <v>95</v>
      </c>
      <c r="D26" s="45">
        <f>+D66</f>
        <v>272320</v>
      </c>
      <c r="E26" s="59">
        <f t="shared" si="0"/>
        <v>900230</v>
      </c>
    </row>
    <row r="27" spans="1:5" x14ac:dyDescent="0.3">
      <c r="B27" s="2">
        <v>4</v>
      </c>
      <c r="C27" s="35" t="s">
        <v>96</v>
      </c>
      <c r="D27" s="45">
        <f>+D95</f>
        <v>149080</v>
      </c>
      <c r="E27" s="59">
        <f t="shared" si="0"/>
        <v>492820</v>
      </c>
    </row>
    <row r="28" spans="1:5" x14ac:dyDescent="0.3">
      <c r="B28" s="2">
        <v>5</v>
      </c>
      <c r="C28" s="35" t="s">
        <v>97</v>
      </c>
      <c r="D28" s="45">
        <f>+D119</f>
        <v>187070</v>
      </c>
      <c r="E28" s="59">
        <f t="shared" si="0"/>
        <v>618410</v>
      </c>
    </row>
    <row r="29" spans="1:5" x14ac:dyDescent="0.3">
      <c r="B29" s="2">
        <v>6</v>
      </c>
      <c r="C29" s="35" t="s">
        <v>98</v>
      </c>
      <c r="D29" s="45">
        <f>+D133</f>
        <v>102680</v>
      </c>
      <c r="E29" s="59">
        <f t="shared" si="0"/>
        <v>339430</v>
      </c>
    </row>
    <row r="30" spans="1:5" x14ac:dyDescent="0.3">
      <c r="B30" s="2">
        <v>7</v>
      </c>
      <c r="C30" s="35" t="s">
        <v>99</v>
      </c>
      <c r="D30" s="45">
        <f>+D146</f>
        <v>29090</v>
      </c>
      <c r="E30" s="59">
        <f t="shared" si="0"/>
        <v>96160</v>
      </c>
    </row>
    <row r="31" spans="1:5" x14ac:dyDescent="0.3">
      <c r="B31" s="2">
        <v>8</v>
      </c>
      <c r="C31" s="35" t="s">
        <v>100</v>
      </c>
      <c r="D31" s="45">
        <f>+D154</f>
        <v>433710</v>
      </c>
      <c r="E31" s="59">
        <f t="shared" si="0"/>
        <v>1433750</v>
      </c>
    </row>
    <row r="32" spans="1:5" x14ac:dyDescent="0.3">
      <c r="B32" s="2">
        <v>9</v>
      </c>
      <c r="C32" s="35" t="s">
        <v>101</v>
      </c>
      <c r="D32" s="45">
        <f>+D161</f>
        <v>18510</v>
      </c>
      <c r="E32" s="59">
        <f t="shared" si="0"/>
        <v>61190</v>
      </c>
    </row>
    <row r="33" spans="1:7" x14ac:dyDescent="0.3">
      <c r="B33" s="2">
        <v>10</v>
      </c>
      <c r="C33" s="35" t="s">
        <v>154</v>
      </c>
      <c r="D33" s="53">
        <f>TRUNC(SUM(D24:D32)*0.275,-1)</f>
        <v>508760</v>
      </c>
      <c r="E33" s="60">
        <f t="shared" si="0"/>
        <v>1681850</v>
      </c>
    </row>
    <row r="34" spans="1:7" x14ac:dyDescent="0.3">
      <c r="C34" s="35" t="s">
        <v>112</v>
      </c>
      <c r="D34" s="44">
        <f>SUM(D24:D33)</f>
        <v>2358820</v>
      </c>
      <c r="E34" s="44">
        <f>SUM(E24:E33)</f>
        <v>7797730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TRUNC(27528,-1)</f>
        <v>27520</v>
      </c>
      <c r="E40" s="62">
        <f t="shared" ref="E40:E59" si="1">TRUNC(+D40*3.3058,-1)</f>
        <v>90970</v>
      </c>
    </row>
    <row r="41" spans="1:7" x14ac:dyDescent="0.3">
      <c r="A41" s="2">
        <v>2</v>
      </c>
      <c r="C41" s="38" t="s">
        <v>13</v>
      </c>
      <c r="D41" s="42">
        <f>TRUNC(78111,-1)</f>
        <v>78110</v>
      </c>
      <c r="E41" s="63">
        <f t="shared" si="1"/>
        <v>258210</v>
      </c>
    </row>
    <row r="42" spans="1:7" x14ac:dyDescent="0.3">
      <c r="A42" s="2">
        <v>3</v>
      </c>
      <c r="C42" s="38" t="s">
        <v>14</v>
      </c>
      <c r="D42" s="42">
        <f>TRUNC(72309,-1)</f>
        <v>72300</v>
      </c>
      <c r="E42" s="63">
        <f t="shared" si="1"/>
        <v>239000</v>
      </c>
    </row>
    <row r="43" spans="1:7" x14ac:dyDescent="0.3">
      <c r="A43" s="2">
        <v>4</v>
      </c>
      <c r="C43" s="38" t="s">
        <v>16</v>
      </c>
      <c r="D43" s="42">
        <f>TRUNC(13551,-1)</f>
        <v>13550</v>
      </c>
      <c r="E43" s="63">
        <f t="shared" si="1"/>
        <v>44790</v>
      </c>
    </row>
    <row r="44" spans="1:7" x14ac:dyDescent="0.3">
      <c r="A44" s="2">
        <v>5</v>
      </c>
      <c r="C44" s="38" t="s">
        <v>17</v>
      </c>
      <c r="D44" s="42">
        <f>TRUNC(19319,-1)</f>
        <v>19310</v>
      </c>
      <c r="E44" s="63">
        <f t="shared" si="1"/>
        <v>63830</v>
      </c>
    </row>
    <row r="45" spans="1:7" x14ac:dyDescent="0.3">
      <c r="A45" s="2">
        <v>6</v>
      </c>
      <c r="C45" s="38" t="s">
        <v>18</v>
      </c>
      <c r="D45" s="42">
        <f>TRUNC(2758,-1)</f>
        <v>2750</v>
      </c>
      <c r="E45" s="63">
        <f t="shared" si="1"/>
        <v>9090</v>
      </c>
    </row>
    <row r="46" spans="1:7" x14ac:dyDescent="0.3">
      <c r="A46" s="2">
        <v>7</v>
      </c>
      <c r="C46" s="38" t="s">
        <v>19</v>
      </c>
      <c r="D46" s="42">
        <f>TRUNC(13071,-1)</f>
        <v>13070</v>
      </c>
      <c r="E46" s="63">
        <f t="shared" si="1"/>
        <v>43200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TRUNC(141253,-1)</f>
        <v>141250</v>
      </c>
      <c r="E48" s="63">
        <f t="shared" si="1"/>
        <v>466940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TRUNC(7058,-1)</f>
        <v>7050</v>
      </c>
      <c r="E49" s="63">
        <f t="shared" si="1"/>
        <v>23300</v>
      </c>
    </row>
    <row r="50" spans="1:7" x14ac:dyDescent="0.3">
      <c r="A50" s="2">
        <v>11</v>
      </c>
      <c r="C50" s="38" t="s">
        <v>155</v>
      </c>
      <c r="D50" s="42">
        <f>TRUNC(19411,-1)</f>
        <v>19410</v>
      </c>
      <c r="E50" s="63">
        <f t="shared" si="1"/>
        <v>64160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TRUNC(5834,-1)</f>
        <v>5830</v>
      </c>
      <c r="E52" s="63">
        <f t="shared" si="1"/>
        <v>19270</v>
      </c>
    </row>
    <row r="53" spans="1:7" x14ac:dyDescent="0.3">
      <c r="A53" s="2">
        <v>14</v>
      </c>
      <c r="C53" s="38" t="s">
        <v>25</v>
      </c>
      <c r="D53" s="42">
        <f>TRUNC(24412,-1)</f>
        <v>24410</v>
      </c>
      <c r="E53" s="63">
        <f t="shared" si="1"/>
        <v>80690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TRUNC(16283+53+6279-694+9567,-1)</f>
        <v>31480</v>
      </c>
      <c r="E58" s="63">
        <f t="shared" si="1"/>
        <v>104060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TRUNC(201564,-1)</f>
        <v>201560</v>
      </c>
      <c r="E59" s="64">
        <f t="shared" si="1"/>
        <v>666310</v>
      </c>
    </row>
    <row r="60" spans="1:7" x14ac:dyDescent="0.3">
      <c r="A60" s="2">
        <v>21</v>
      </c>
      <c r="C60" s="27" t="s">
        <v>112</v>
      </c>
      <c r="D60" s="39">
        <f>SUM(D40:D59)</f>
        <v>657600</v>
      </c>
      <c r="E60" s="39">
        <f>SUM(E40:E59)</f>
        <v>2173820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TRUNC(272322,-1)</f>
        <v>272320</v>
      </c>
      <c r="E63" s="62">
        <f>TRUNC(+D63*3.3058,-1)</f>
        <v>900230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272320</v>
      </c>
      <c r="E66" s="65">
        <f>SUM(E63:E65)</f>
        <v>900230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TRUNC(21531,-1)</f>
        <v>21530</v>
      </c>
      <c r="E69" s="62">
        <f t="shared" ref="E69:E94" si="2">TRUNC(+D69*3.3058,-1)</f>
        <v>71170</v>
      </c>
    </row>
    <row r="70" spans="1:7" ht="16.5" customHeight="1" x14ac:dyDescent="0.3">
      <c r="A70" s="2">
        <v>2</v>
      </c>
      <c r="C70" s="38" t="s">
        <v>31</v>
      </c>
      <c r="D70" s="42">
        <f>TRUNC(6322,-1)</f>
        <v>6320</v>
      </c>
      <c r="E70" s="63">
        <f t="shared" si="2"/>
        <v>20890</v>
      </c>
    </row>
    <row r="71" spans="1:7" x14ac:dyDescent="0.3">
      <c r="A71" s="2">
        <v>3</v>
      </c>
      <c r="C71" s="38" t="s">
        <v>32</v>
      </c>
      <c r="D71" s="42">
        <f>TRUNC(1481,-1)</f>
        <v>1480</v>
      </c>
      <c r="E71" s="63">
        <f t="shared" si="2"/>
        <v>4890</v>
      </c>
    </row>
    <row r="72" spans="1:7" x14ac:dyDescent="0.3">
      <c r="A72" s="2">
        <v>4</v>
      </c>
      <c r="C72" s="38" t="s">
        <v>33</v>
      </c>
      <c r="D72" s="42">
        <f>TRUNC(9319,-1)</f>
        <v>9310</v>
      </c>
      <c r="E72" s="63">
        <f t="shared" si="2"/>
        <v>30770</v>
      </c>
    </row>
    <row r="73" spans="1:7" x14ac:dyDescent="0.3">
      <c r="A73" s="2">
        <v>5</v>
      </c>
      <c r="C73" s="38" t="s">
        <v>34</v>
      </c>
      <c r="D73" s="42">
        <f>TRUNC(8786,-1)</f>
        <v>8780</v>
      </c>
      <c r="E73" s="63">
        <f t="shared" si="2"/>
        <v>29020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TRUNC(4202,-1)</f>
        <v>4200</v>
      </c>
      <c r="E89" s="63">
        <f t="shared" si="2"/>
        <v>13880</v>
      </c>
    </row>
    <row r="90" spans="1:7" x14ac:dyDescent="0.3">
      <c r="A90" s="2">
        <v>22</v>
      </c>
      <c r="C90" s="38" t="s">
        <v>36</v>
      </c>
      <c r="D90" s="42">
        <f>TRUNC(238,-1)</f>
        <v>230</v>
      </c>
      <c r="E90" s="63">
        <f t="shared" si="2"/>
        <v>760</v>
      </c>
    </row>
    <row r="91" spans="1:7" x14ac:dyDescent="0.3">
      <c r="A91" s="2">
        <v>23</v>
      </c>
      <c r="C91" s="38" t="s">
        <v>37</v>
      </c>
      <c r="D91" s="42">
        <f>TRUNC(4513,-1)</f>
        <v>4510</v>
      </c>
      <c r="E91" s="63">
        <f t="shared" si="2"/>
        <v>14900</v>
      </c>
    </row>
    <row r="92" spans="1:7" x14ac:dyDescent="0.3">
      <c r="A92" s="2">
        <v>24</v>
      </c>
      <c r="C92" s="38" t="s">
        <v>38</v>
      </c>
      <c r="D92" s="42">
        <v>2690</v>
      </c>
      <c r="E92" s="63">
        <f t="shared" si="2"/>
        <v>8890</v>
      </c>
    </row>
    <row r="93" spans="1:7" x14ac:dyDescent="0.3">
      <c r="A93" s="2">
        <v>25</v>
      </c>
      <c r="C93" s="38" t="s">
        <v>148</v>
      </c>
      <c r="D93" s="42">
        <f>TRUNC(36999,-1)</f>
        <v>36990</v>
      </c>
      <c r="E93" s="63">
        <f t="shared" si="2"/>
        <v>122280</v>
      </c>
    </row>
    <row r="94" spans="1:7" ht="17.25" thickBot="1" x14ac:dyDescent="0.35">
      <c r="A94" s="2">
        <v>26</v>
      </c>
      <c r="C94" s="38" t="s">
        <v>47</v>
      </c>
      <c r="D94" s="43">
        <f>TRUNC(1496+845+578+50126,-1)</f>
        <v>53040</v>
      </c>
      <c r="E94" s="64">
        <f t="shared" si="2"/>
        <v>175330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149080</v>
      </c>
      <c r="E95" s="39">
        <f>SUM(E69:E94)</f>
        <v>492780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TRUNC(63021,-1)</f>
        <v>63020</v>
      </c>
      <c r="E98" s="62">
        <f t="shared" ref="E98:E118" si="3">TRUNC(+D98*3.3058,-1)</f>
        <v>208330</v>
      </c>
    </row>
    <row r="99" spans="1:7" x14ac:dyDescent="0.3">
      <c r="A99" s="2">
        <v>2</v>
      </c>
      <c r="C99" s="38" t="s">
        <v>40</v>
      </c>
      <c r="D99" s="42">
        <v>830</v>
      </c>
      <c r="E99" s="63">
        <f t="shared" si="3"/>
        <v>2740</v>
      </c>
    </row>
    <row r="100" spans="1:7" x14ac:dyDescent="0.3">
      <c r="A100" s="2">
        <v>3</v>
      </c>
      <c r="C100" s="38" t="s">
        <v>41</v>
      </c>
      <c r="D100" s="42">
        <v>24470</v>
      </c>
      <c r="E100" s="63">
        <f t="shared" si="3"/>
        <v>80890</v>
      </c>
    </row>
    <row r="101" spans="1:7" x14ac:dyDescent="0.3">
      <c r="A101" s="2">
        <v>4</v>
      </c>
      <c r="C101" s="38" t="s">
        <v>42</v>
      </c>
      <c r="D101" s="42">
        <f>TRUNC(1099,-1)</f>
        <v>1090</v>
      </c>
      <c r="E101" s="63">
        <f t="shared" si="3"/>
        <v>3600</v>
      </c>
    </row>
    <row r="102" spans="1:7" x14ac:dyDescent="0.3">
      <c r="A102" s="2">
        <v>5</v>
      </c>
      <c r="C102" s="38" t="s">
        <v>43</v>
      </c>
      <c r="D102" s="42">
        <f>TRUNC(6011,-1)</f>
        <v>6010</v>
      </c>
      <c r="E102" s="63">
        <f t="shared" si="3"/>
        <v>19860</v>
      </c>
    </row>
    <row r="103" spans="1:7" x14ac:dyDescent="0.3">
      <c r="A103" s="2">
        <v>6</v>
      </c>
      <c r="C103" s="38" t="s">
        <v>44</v>
      </c>
      <c r="D103" s="42">
        <v>1590</v>
      </c>
      <c r="E103" s="63">
        <f t="shared" si="3"/>
        <v>5250</v>
      </c>
    </row>
    <row r="104" spans="1:7" x14ac:dyDescent="0.3">
      <c r="A104" s="2">
        <v>7</v>
      </c>
      <c r="C104" s="38" t="s">
        <v>45</v>
      </c>
      <c r="D104" s="42">
        <f>TRUNC(975,-1)</f>
        <v>970</v>
      </c>
      <c r="E104" s="63">
        <f t="shared" si="3"/>
        <v>3200</v>
      </c>
    </row>
    <row r="105" spans="1:7" x14ac:dyDescent="0.3">
      <c r="A105" s="2">
        <v>8</v>
      </c>
      <c r="C105" s="38" t="s">
        <v>46</v>
      </c>
      <c r="D105" s="42">
        <f>TRUNC(1463,-1)</f>
        <v>1460</v>
      </c>
      <c r="E105" s="63">
        <f t="shared" si="3"/>
        <v>4820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TRUNC(2148,-1)</f>
        <v>2140</v>
      </c>
      <c r="E114" s="63">
        <f t="shared" si="3"/>
        <v>7070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TRUNC(5078,-1)</f>
        <v>5070</v>
      </c>
      <c r="E116" s="63">
        <f t="shared" si="3"/>
        <v>16760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f>TRUNC(79561,-1)</f>
        <v>79560</v>
      </c>
      <c r="E117" s="63">
        <f t="shared" si="3"/>
        <v>263000</v>
      </c>
    </row>
    <row r="118" spans="1:7" ht="17.25" thickBot="1" x14ac:dyDescent="0.35">
      <c r="A118" s="2">
        <v>21</v>
      </c>
      <c r="C118" s="38" t="s">
        <v>47</v>
      </c>
      <c r="D118" s="43">
        <f>TRUNC(865,-1)</f>
        <v>860</v>
      </c>
      <c r="E118" s="64">
        <f t="shared" si="3"/>
        <v>2840</v>
      </c>
    </row>
    <row r="119" spans="1:7" x14ac:dyDescent="0.3">
      <c r="A119" s="2">
        <v>22</v>
      </c>
      <c r="C119" s="27" t="s">
        <v>112</v>
      </c>
      <c r="D119" s="39">
        <f>SUM(D98:D118)</f>
        <v>187070</v>
      </c>
      <c r="E119" s="39">
        <f>SUM(E98:E118)</f>
        <v>618360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TRUNC(3058,-1)</f>
        <v>3050</v>
      </c>
      <c r="E125" s="63">
        <f t="shared" si="4"/>
        <v>10080</v>
      </c>
    </row>
    <row r="126" spans="1:7" x14ac:dyDescent="0.3">
      <c r="A126" s="2">
        <v>5</v>
      </c>
      <c r="C126" s="38" t="s">
        <v>53</v>
      </c>
      <c r="D126" s="42">
        <f>TRUNC(1496,-1)</f>
        <v>1490</v>
      </c>
      <c r="E126" s="63">
        <f t="shared" si="4"/>
        <v>4920</v>
      </c>
    </row>
    <row r="127" spans="1:7" x14ac:dyDescent="0.3">
      <c r="A127" s="2">
        <v>6</v>
      </c>
      <c r="C127" s="38" t="s">
        <v>56</v>
      </c>
      <c r="D127" s="42">
        <f>TRUNC(817,-1)</f>
        <v>810</v>
      </c>
      <c r="E127" s="63">
        <f t="shared" si="4"/>
        <v>2670</v>
      </c>
    </row>
    <row r="128" spans="1:7" x14ac:dyDescent="0.3">
      <c r="A128" s="2">
        <v>7</v>
      </c>
      <c r="C128" s="38" t="s">
        <v>46</v>
      </c>
      <c r="D128" s="42">
        <f>TRUNC(1398,-1)</f>
        <v>1390</v>
      </c>
      <c r="E128" s="63">
        <f t="shared" si="4"/>
        <v>4590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TRUNC(23743,-1)</f>
        <v>23740</v>
      </c>
      <c r="E130" s="63">
        <f t="shared" si="4"/>
        <v>78470</v>
      </c>
    </row>
    <row r="131" spans="1:7" x14ac:dyDescent="0.3">
      <c r="A131" s="2">
        <v>10</v>
      </c>
      <c r="C131" s="38" t="s">
        <v>148</v>
      </c>
      <c r="D131" s="42">
        <f>TRUNC(47737,-1)</f>
        <v>47730</v>
      </c>
      <c r="E131" s="63">
        <f t="shared" si="4"/>
        <v>157780</v>
      </c>
    </row>
    <row r="132" spans="1:7" ht="18" thickBot="1" x14ac:dyDescent="0.35">
      <c r="A132" s="2">
        <v>11</v>
      </c>
      <c r="C132" s="38" t="s">
        <v>47</v>
      </c>
      <c r="D132" s="43">
        <f>TRUNC(4873+19605,-1)</f>
        <v>24470</v>
      </c>
      <c r="E132" s="64">
        <f t="shared" si="4"/>
        <v>80890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102680</v>
      </c>
      <c r="E133" s="39">
        <f>SUM(E122:E132)</f>
        <v>339400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TRUNC(8478+464+64,-1)</f>
        <v>9000</v>
      </c>
      <c r="E137" s="63">
        <f t="shared" si="5"/>
        <v>29750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TRUNC(423,-1)</f>
        <v>420</v>
      </c>
      <c r="E139" s="63">
        <f t="shared" si="5"/>
        <v>1380</v>
      </c>
    </row>
    <row r="140" spans="1:7" x14ac:dyDescent="0.3">
      <c r="A140" s="2">
        <v>5</v>
      </c>
      <c r="C140" s="38" t="s">
        <v>57</v>
      </c>
      <c r="D140" s="42">
        <f>TRUNC(1163,-1)</f>
        <v>1160</v>
      </c>
      <c r="E140" s="63">
        <f t="shared" si="5"/>
        <v>3830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1910</v>
      </c>
      <c r="E142" s="63">
        <f t="shared" si="5"/>
        <v>6310</v>
      </c>
    </row>
    <row r="143" spans="1:7" x14ac:dyDescent="0.3">
      <c r="A143" s="2">
        <v>8</v>
      </c>
      <c r="C143" s="38" t="s">
        <v>62</v>
      </c>
      <c r="D143" s="42">
        <f>TRUNC(1325,-1)</f>
        <v>1320</v>
      </c>
      <c r="E143" s="63">
        <f t="shared" si="5"/>
        <v>4360</v>
      </c>
    </row>
    <row r="144" spans="1:7" x14ac:dyDescent="0.3">
      <c r="A144" s="2">
        <v>9</v>
      </c>
      <c r="C144" s="38" t="s">
        <v>63</v>
      </c>
      <c r="D144" s="42">
        <f>TRUNC(12464,-1)</f>
        <v>12460</v>
      </c>
      <c r="E144" s="63">
        <f t="shared" si="5"/>
        <v>41190</v>
      </c>
    </row>
    <row r="145" spans="1:7" ht="17.25" thickBot="1" x14ac:dyDescent="0.35">
      <c r="A145" s="2">
        <v>10</v>
      </c>
      <c r="C145" s="38" t="s">
        <v>148</v>
      </c>
      <c r="D145" s="43">
        <f>TRUNC(2826,-1)</f>
        <v>2820</v>
      </c>
      <c r="E145" s="64">
        <f t="shared" si="5"/>
        <v>9320</v>
      </c>
    </row>
    <row r="146" spans="1:7" x14ac:dyDescent="0.3">
      <c r="A146" s="2">
        <v>11</v>
      </c>
      <c r="C146" s="27" t="s">
        <v>112</v>
      </c>
      <c r="D146" s="39">
        <f>SUM(D136:D145)</f>
        <v>29090</v>
      </c>
      <c r="E146" s="39">
        <f>SUM(E136:E145)</f>
        <v>96140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TRUNC(89231+4676,-1)</f>
        <v>93900</v>
      </c>
      <c r="E149" s="62">
        <f>TRUNC(+D149*3.3058,-1)</f>
        <v>310410</v>
      </c>
    </row>
    <row r="150" spans="1:7" x14ac:dyDescent="0.3">
      <c r="A150" s="2">
        <v>2</v>
      </c>
      <c r="C150" s="38" t="s">
        <v>49</v>
      </c>
      <c r="D150" s="42">
        <v>31200</v>
      </c>
      <c r="E150" s="63">
        <f>TRUNC(+D150*3.3058,-1)</f>
        <v>103140</v>
      </c>
    </row>
    <row r="151" spans="1:7" x14ac:dyDescent="0.3">
      <c r="A151" s="2">
        <v>3</v>
      </c>
      <c r="C151" s="38" t="s">
        <v>50</v>
      </c>
      <c r="D151" s="42">
        <f>TRUNC(51943,-1)</f>
        <v>51940</v>
      </c>
      <c r="E151" s="63">
        <f>TRUNC(+D151*3.3058,-1)</f>
        <v>171700</v>
      </c>
    </row>
    <row r="152" spans="1:7" x14ac:dyDescent="0.3">
      <c r="A152" s="2">
        <v>4</v>
      </c>
      <c r="C152" s="38" t="s">
        <v>47</v>
      </c>
      <c r="D152" s="42">
        <f>TRUNC(10060+147+384+29288,-1)</f>
        <v>39870</v>
      </c>
      <c r="E152" s="63">
        <f>TRUNC(+D152*3.3058,-1)</f>
        <v>131800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TRUNC(216802,-1)</f>
        <v>216800</v>
      </c>
      <c r="E153" s="64">
        <f>TRUNC(+D153*3.3058,-1)</f>
        <v>716690</v>
      </c>
    </row>
    <row r="154" spans="1:7" x14ac:dyDescent="0.3">
      <c r="A154" s="2">
        <v>6</v>
      </c>
      <c r="C154" s="27" t="s">
        <v>112</v>
      </c>
      <c r="D154" s="39">
        <f>SUM(D149:D153)</f>
        <v>433710</v>
      </c>
      <c r="E154" s="39">
        <f>SUM(E149:E153)</f>
        <v>1433740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13520</v>
      </c>
      <c r="E157" s="62">
        <f>TRUNC(+D157*3.3058,-1)</f>
        <v>44690</v>
      </c>
    </row>
    <row r="158" spans="1:7" x14ac:dyDescent="0.3">
      <c r="A158" s="2">
        <v>2</v>
      </c>
      <c r="C158" s="38" t="s">
        <v>52</v>
      </c>
      <c r="D158" s="42">
        <f>TRUNC(2293,-1)</f>
        <v>2290</v>
      </c>
      <c r="E158" s="63">
        <f>TRUNC(+D158*3.3058,-1)</f>
        <v>7570</v>
      </c>
    </row>
    <row r="159" spans="1:7" x14ac:dyDescent="0.3">
      <c r="A159" s="2">
        <v>3</v>
      </c>
      <c r="C159" s="38" t="s">
        <v>47</v>
      </c>
      <c r="D159" s="42">
        <f>TRUNC(2439+267,-1)</f>
        <v>2700</v>
      </c>
      <c r="E159" s="63">
        <f>TRUNC(+D159*3.3058,-1)</f>
        <v>8920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18510</v>
      </c>
      <c r="E161" s="39">
        <f>SUM(E157:E160)</f>
        <v>61180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2020-12-08T01:30:51Z</dcterms:modified>
</cp:coreProperties>
</file>