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49" i="4"/>
  <c r="D140" i="4"/>
  <c r="D137" i="4"/>
  <c r="D132" i="4"/>
  <c r="D131" i="4"/>
  <c r="D128" i="4"/>
  <c r="D126" i="4"/>
  <c r="D125" i="4"/>
  <c r="D124" i="4"/>
  <c r="D122" i="4"/>
  <c r="D117" i="4"/>
  <c r="D104" i="4"/>
  <c r="D103" i="4"/>
  <c r="D102" i="4"/>
  <c r="D100" i="4"/>
  <c r="D99" i="4"/>
  <c r="D94" i="4"/>
  <c r="D92" i="4"/>
  <c r="D91" i="4"/>
  <c r="D89" i="4"/>
  <c r="D76" i="4"/>
  <c r="D73" i="4"/>
  <c r="D71" i="4"/>
  <c r="D69" i="4"/>
  <c r="D65" i="4"/>
  <c r="D63" i="4"/>
  <c r="D59" i="4"/>
  <c r="D58" i="4"/>
  <c r="D53" i="4"/>
  <c r="D52" i="4"/>
  <c r="D50" i="4"/>
  <c r="D49" i="4"/>
  <c r="D48" i="4"/>
  <c r="D45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<sst xmlns="http://schemas.openxmlformats.org/spreadsheetml/2006/main" count="390" uniqueCount="264">
  <si>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</si>
  <si>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</si>
  <si>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</si>
  <si>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</si>
  <si>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</si>
  <si>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</si>
  <si>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</si>
  <si>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</si>
  <si>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</si>
  <si>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</si>
  <si>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</si>
  <si>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</si>
  <si>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</si>
  <si>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</si>
  <si>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</si>
  <si>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</si>
  <si>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</si>
  <si>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</si>
  <si>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</si>
  <si>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</si>
  <si>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</si>
  <si>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</si>
  <si>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</si>
  <si>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</si>
  <si>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</si>
  <si>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</si>
  <si>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</si>
  <si>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</si>
  <si>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</si>
  <si>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</si>
  <si>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</si>
  <si>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</si>
  <si>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</si>
  <si>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</si>
  <si>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</si>
  <si>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</si>
  <si>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</si>
  <si>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</si>
  <si>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</si>
  <si>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</si>
  <si>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</si>
  <si>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</si>
  <si>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</si>
  <si>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</si>
  <si>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</si>
  <si>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</si>
  <si>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</si>
  <si>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</si>
  <si>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</si>
  <si>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</si>
  <si>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</si>
  <si>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</si>
  <si>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</si>
  <si>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</si>
  <si>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</si>
  <si>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</si>
  <si>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</si>
  <si>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</si>
  <si>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</si>
  <si>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</si>
  <si>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</si>
  <si>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</si>
  <si>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</si>
  <si>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</si>
  <si>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</si>
  <si>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</si>
  <si>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</si>
  <si>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</si>
  <si>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</si>
  <si>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</si>
  <si>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</si>
  <si>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</si>
  <si>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</si>
  <si>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</si>
  <si>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</si>
  <si>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</si>
  <si>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</si>
  <si>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</si>
  <si>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</si>
  <si>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</si>
  <si>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</si>
  <si>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</si>
  <si>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</si>
  <si>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</si>
  <si>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</si>
  <si>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</si>
  <si>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</si>
  <si>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</si>
  <si>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</si>
  <si>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</si>
  <si>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</si>
  <si>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</si>
  <si>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</si>
  <si>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</si>
  <si>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</si>
  <si>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</si>
  <si>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</si>
  <si>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</si>
  <si>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</si>
  <si>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</si>
  <si>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</si>
  <si>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</si>
  <si>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</si>
  <si>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</si>
  <si>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</si>
  <si>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</si>
  <si>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</si>
  <si>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</si>
  <si>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</si>
  <si>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</si>
  <si>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</si>
  <si>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</si>
  <si>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</si>
  <si>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</si>
  <si>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</si>
  <si>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</si>
  <si>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</si>
  <si>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</si>
  <si>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</si>
  <si>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</si>
  <si>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</si>
  <si>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</si>
  <si>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</si>
  <si>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</si>
  <si>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</si>
  <si>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</si>
  <si>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</si>
  <si>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</si>
  <si>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</si>
  <si>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</si>
  <si>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</si>
  <si>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</si>
  <si>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</si>
  <si>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</si>
  <si>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</si>
  <si>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</si>
  <si>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</si>
  <si>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</si>
  <si>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</si>
  <si>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</si>
  <si>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</si>
  <si>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</si>
  <si>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</si>
  <si>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</si>
  <si>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</si>
  <si>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</si>
  <si>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</si>
  <si>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</si>
  <si>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</si>
  <si>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</si>
  <si>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</si>
  <si>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</si>
  <si>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</si>
  <si>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</si>
  <si>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</si>
  <si>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</si>
  <si>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</si>
  <si>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</si>
  <si>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</si>
  <si>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</si>
  <si>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</si>
  <si>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</si>
  <si>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</si>
  <si>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</si>
  <si>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</si>
  <si>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</si>
  <si>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</si>
  <si>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</si>
  <si>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</si>
  <si>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</si>
  <si>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</si>
  <si>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</si>
  <si>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</si>
  <si>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</si>
  <si>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</si>
  <si>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</si>
  <si>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</si>
  <si>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</si>
  <si>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</si>
  <si>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</si>
  <si>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</si>
  <si>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</si>
  <si>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</si>
  <si>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</si>
  <si>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</si>
  <si>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</si>
  <si>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</si>
  <si>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</si>
  <si>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</si>
  <si>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</si>
  <si>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</si>
  <si>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</si>
  <si>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</si>
  <si>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</si>
  <si>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</si>
  <si>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</si>
  <si>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</si>
  <si>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</si>
  <si>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</si>
  <si>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</si>
  <si>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</si>
  <si>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</si>
  <si>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</si>
  <si>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</si>
  <si>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</si>
  <si>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</si>
  <si>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</si>
  <si>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</si>
  <si>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</si>
  <si>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</si>
  <si>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</si>
  <si>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</si>
  <si>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</si>
  <si>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</si>
  <si>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</si>
  <si>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</si>
  <si>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</si>
  <si>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</si>
  <si>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</si>
  <si>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</si>
  <si>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</si>
  <si>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</si>
  <si>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</si>
  <si>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</si>
  <si>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</si>
  <si>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</si>
  <si>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</si>
  <si>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</si>
  <si>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</si>
  <si>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</si>
  <si>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</si>
  <si>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</si>
  <si>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</si>
  <si>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</si>
  <si>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</si>
  <si>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</si>
  <si>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</si>
  <si>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</si>
  <si>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</si>
  <si>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</si>
  <si>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</si>
  <si>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</si>
  <si>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</si>
  <si>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</si>
  <si>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</si>
  <si>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</si>
  <si>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</si>
  <si>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</si>
  <si>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</si>
  <si>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</si>
  <si>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</si>
  <si>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</si>
  <si>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</si>
  <si>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</si>
  <si>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</si>
  <si>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</si>
  <si>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 xml:space="preserve"> 가칭 신대초 신축공사</t>
    <phoneticPr fontId="2" type="noConversion"/>
  </si>
  <si>
    <t>전라도</t>
  </si>
  <si>
    <t>바닥난방공사, 기타공사</t>
    <phoneticPr fontId="2" type="noConversion"/>
  </si>
  <si>
    <t>CCTV설비공사</t>
    <phoneticPr fontId="2" type="noConversion"/>
  </si>
  <si>
    <t>상수도공사,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</si>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</sst>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16623.189999999999</v>
      </c>
      <c r="D7" s="36">
        <f>+C7/3.3058</f>
        <v>5028.4923467844392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849500</v>
      </c>
      <c r="E25" s="59">
        <f t="shared" si="0"/>
        <v>2808270</v>
      </c>
    </row>
    <row r="26" spans="1:5" x14ac:dyDescent="0.3">
      <c r="B26" s="2">
        <v>3</v>
      </c>
      <c r="C26" s="35" t="s">
        <v>95</v>
      </c>
      <c r="D26" s="45">
        <f>+D66</f>
        <v>14850</v>
      </c>
      <c r="E26" s="59">
        <f t="shared" si="0"/>
        <v>49090</v>
      </c>
    </row>
    <row r="27" spans="1:5" x14ac:dyDescent="0.3">
      <c r="B27" s="2">
        <v>4</v>
      </c>
      <c r="C27" s="35" t="s">
        <v>96</v>
      </c>
      <c r="D27" s="45">
        <f>+D95</f>
        <v>70280</v>
      </c>
      <c r="E27" s="59">
        <f t="shared" si="0"/>
        <v>232330</v>
      </c>
    </row>
    <row r="28" spans="1:5" x14ac:dyDescent="0.3">
      <c r="B28" s="2">
        <v>5</v>
      </c>
      <c r="C28" s="35" t="s">
        <v>97</v>
      </c>
      <c r="D28" s="45">
        <f>+D119</f>
        <v>113930</v>
      </c>
      <c r="E28" s="59">
        <f t="shared" si="0"/>
        <v>376620</v>
      </c>
    </row>
    <row r="29" spans="1:5" x14ac:dyDescent="0.3">
      <c r="B29" s="2">
        <v>6</v>
      </c>
      <c r="C29" s="35" t="s">
        <v>98</v>
      </c>
      <c r="D29" s="45">
        <f>+D133</f>
        <v>55760</v>
      </c>
      <c r="E29" s="59">
        <f t="shared" si="0"/>
        <v>184330</v>
      </c>
    </row>
    <row r="30" spans="1:5" x14ac:dyDescent="0.3">
      <c r="B30" s="2">
        <v>7</v>
      </c>
      <c r="C30" s="35" t="s">
        <v>99</v>
      </c>
      <c r="D30" s="45">
        <f>+D146</f>
        <v>22810</v>
      </c>
      <c r="E30" s="59">
        <f t="shared" si="0"/>
        <v>75400</v>
      </c>
    </row>
    <row r="31" spans="1:5" x14ac:dyDescent="0.3">
      <c r="B31" s="2">
        <v>8</v>
      </c>
      <c r="C31" s="35" t="s">
        <v>100</v>
      </c>
      <c r="D31" s="45">
        <f>+D154</f>
        <v>39150</v>
      </c>
      <c r="E31" s="59">
        <f t="shared" si="0"/>
        <v>129420</v>
      </c>
    </row>
    <row r="32" spans="1:5" x14ac:dyDescent="0.3">
      <c r="B32" s="2">
        <v>9</v>
      </c>
      <c r="C32" s="35" t="s">
        <v>101</v>
      </c>
      <c r="D32" s="45">
        <f>+D161</f>
        <v>22250</v>
      </c>
      <c r="E32" s="59">
        <f t="shared" si="0"/>
        <v>73550</v>
      </c>
    </row>
    <row r="33" spans="1:7" x14ac:dyDescent="0.3">
      <c r="B33" s="2">
        <v>10</v>
      </c>
      <c r="C33" s="35" t="s">
        <v>155</v>
      </c>
      <c r="D33" s="53">
        <f>TRUNC(SUM(D24:D32)*0.275,-1)</f>
        <v>326840</v>
      </c>
      <c r="E33" s="60">
        <f t="shared" si="0"/>
        <v>1080460</v>
      </c>
    </row>
    <row r="34" spans="1:7" x14ac:dyDescent="0.3">
      <c r="C34" s="35" t="s">
        <v>112</v>
      </c>
      <c r="D34" s="44">
        <f>SUM(D24:D33)</f>
        <v>1515370</v>
      </c>
      <c r="E34" s="44">
        <f>SUM(E24:E33)</f>
        <v>5009470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TRUNC(39399,-1)</f>
        <v>39390</v>
      </c>
      <c r="E40" s="62">
        <f t="shared" ref="E40:E59" si="1">TRUNC(+D40*3.3058,-1)</f>
        <v>130210</v>
      </c>
    </row>
    <row r="41" spans="1:7" x14ac:dyDescent="0.3">
      <c r="A41" s="2">
        <v>2</v>
      </c>
      <c r="C41" s="38" t="s">
        <v>13</v>
      </c>
      <c r="D41" s="42">
        <f>TRUNC(109762,-1)</f>
        <v>109760</v>
      </c>
      <c r="E41" s="63">
        <f t="shared" si="1"/>
        <v>362840</v>
      </c>
    </row>
    <row r="42" spans="1:7" x14ac:dyDescent="0.3">
      <c r="A42" s="2">
        <v>3</v>
      </c>
      <c r="C42" s="38" t="s">
        <v>14</v>
      </c>
      <c r="D42" s="42">
        <f>TRUNC(10537,-1)</f>
        <v>10530</v>
      </c>
      <c r="E42" s="63">
        <f t="shared" si="1"/>
        <v>34810</v>
      </c>
    </row>
    <row r="43" spans="1:7" x14ac:dyDescent="0.3">
      <c r="A43" s="2">
        <v>4</v>
      </c>
      <c r="C43" s="38" t="s">
        <v>16</v>
      </c>
      <c r="D43" s="42">
        <v>31910</v>
      </c>
      <c r="E43" s="63">
        <f t="shared" si="1"/>
        <v>105480</v>
      </c>
    </row>
    <row r="44" spans="1:7" x14ac:dyDescent="0.3">
      <c r="A44" s="2">
        <v>5</v>
      </c>
      <c r="C44" s="38" t="s">
        <v>17</v>
      </c>
      <c r="D44" s="42">
        <f>TRUNC(20902,-1)</f>
        <v>20900</v>
      </c>
      <c r="E44" s="63">
        <f t="shared" si="1"/>
        <v>69090</v>
      </c>
    </row>
    <row r="45" spans="1:7" x14ac:dyDescent="0.3">
      <c r="A45" s="2">
        <v>6</v>
      </c>
      <c r="C45" s="38" t="s">
        <v>18</v>
      </c>
      <c r="D45" s="42">
        <f>TRUNC(3886,-1)</f>
        <v>3880</v>
      </c>
      <c r="E45" s="63">
        <f t="shared" si="1"/>
        <v>12820</v>
      </c>
    </row>
    <row r="46" spans="1:7" x14ac:dyDescent="0.3">
      <c r="A46" s="2">
        <v>7</v>
      </c>
      <c r="C46" s="38" t="s">
        <v>19</v>
      </c>
      <c r="D46" s="42">
        <v>31490</v>
      </c>
      <c r="E46" s="63">
        <f t="shared" si="1"/>
        <v>104090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TRUNC(87115,-1)</f>
        <v>87110</v>
      </c>
      <c r="E48" s="63">
        <f t="shared" si="1"/>
        <v>287960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TRUNC(20053,-1)</f>
        <v>20050</v>
      </c>
      <c r="E49" s="63">
        <f t="shared" si="1"/>
        <v>66280</v>
      </c>
    </row>
    <row r="50" spans="1:7" x14ac:dyDescent="0.3">
      <c r="A50" s="2">
        <v>11</v>
      </c>
      <c r="C50" s="38" t="s">
        <v>156</v>
      </c>
      <c r="D50" s="42">
        <f>TRUNC(45503,-1)</f>
        <v>45500</v>
      </c>
      <c r="E50" s="63">
        <f t="shared" si="1"/>
        <v>150410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TRUNC(9832,-1)</f>
        <v>9830</v>
      </c>
      <c r="E52" s="63">
        <f t="shared" si="1"/>
        <v>32490</v>
      </c>
    </row>
    <row r="53" spans="1:7" x14ac:dyDescent="0.3">
      <c r="A53" s="2">
        <v>14</v>
      </c>
      <c r="C53" s="38" t="s">
        <v>25</v>
      </c>
      <c r="D53" s="42">
        <f>TRUNC(77191,-1)</f>
        <v>77190</v>
      </c>
      <c r="E53" s="63">
        <f t="shared" si="1"/>
        <v>255170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TRUNC(9369+4315-493+165+5521,-1)</f>
        <v>18870</v>
      </c>
      <c r="E58" s="63">
        <f t="shared" si="1"/>
        <v>62380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TRUNC(343094,-1)</f>
        <v>343090</v>
      </c>
      <c r="E59" s="64">
        <f t="shared" si="1"/>
        <v>1134180</v>
      </c>
    </row>
    <row r="60" spans="1:7" x14ac:dyDescent="0.3">
      <c r="A60" s="2">
        <v>21</v>
      </c>
      <c r="C60" s="27" t="s">
        <v>112</v>
      </c>
      <c r="D60" s="39">
        <f>SUM(D40:D59)</f>
        <v>849500</v>
      </c>
      <c r="E60" s="39">
        <f>SUM(E40:E59)</f>
        <v>2808210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TRUNC(4393,-1)</f>
        <v>4390</v>
      </c>
      <c r="E63" s="62">
        <f>TRUNC(+D63*3.3058,-1)</f>
        <v>14510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TRUNC(10469,-1)</f>
        <v>10460</v>
      </c>
      <c r="E65" s="64">
        <f>TRUNC(+D65*3.3058,-1)</f>
        <v>34570</v>
      </c>
    </row>
    <row r="66" spans="1:7" x14ac:dyDescent="0.3">
      <c r="A66" s="2">
        <v>4</v>
      </c>
      <c r="C66" s="27" t="s">
        <v>112</v>
      </c>
      <c r="D66" s="39">
        <f>SUM(D63:D65)</f>
        <v>14850</v>
      </c>
      <c r="E66" s="65">
        <f>SUM(E63:E65)</f>
        <v>49080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TRUNC(6084,-1)</f>
        <v>6080</v>
      </c>
      <c r="E69" s="62">
        <f t="shared" ref="E69:E94" si="2">TRUNC(+D69*3.3058,-1)</f>
        <v>20090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TRUNC(2958,-1)</f>
        <v>2950</v>
      </c>
      <c r="E71" s="63">
        <f t="shared" si="2"/>
        <v>9750</v>
      </c>
    </row>
    <row r="72" spans="1:7" x14ac:dyDescent="0.3">
      <c r="A72" s="2">
        <v>4</v>
      </c>
      <c r="C72" s="38" t="s">
        <v>33</v>
      </c>
      <c r="D72" s="42">
        <v>2150</v>
      </c>
      <c r="E72" s="63">
        <f t="shared" si="2"/>
        <v>7100</v>
      </c>
    </row>
    <row r="73" spans="1:7" x14ac:dyDescent="0.3">
      <c r="A73" s="2">
        <v>5</v>
      </c>
      <c r="C73" s="38" t="s">
        <v>34</v>
      </c>
      <c r="D73" s="42">
        <f>TRUNC(7952,-1)</f>
        <v>7950</v>
      </c>
      <c r="E73" s="63">
        <f t="shared" si="2"/>
        <v>26280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TRUNC(30509,-1)</f>
        <v>30500</v>
      </c>
      <c r="E76" s="63">
        <f t="shared" si="2"/>
        <v>100820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TRUNC(5968,-1)</f>
        <v>5960</v>
      </c>
      <c r="E89" s="63">
        <f t="shared" si="2"/>
        <v>19700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TRUNC(4267,-1)</f>
        <v>4260</v>
      </c>
      <c r="E91" s="63">
        <f t="shared" si="2"/>
        <v>14080</v>
      </c>
    </row>
    <row r="92" spans="1:7" x14ac:dyDescent="0.3">
      <c r="A92" s="2">
        <v>24</v>
      </c>
      <c r="C92" s="38" t="s">
        <v>38</v>
      </c>
      <c r="D92" s="42">
        <f>TRUNC(7674,-1)</f>
        <v>7670</v>
      </c>
      <c r="E92" s="63">
        <f t="shared" si="2"/>
        <v>25350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TRUNC(2039+725,-1)</f>
        <v>2760</v>
      </c>
      <c r="E94" s="64">
        <f t="shared" si="2"/>
        <v>9120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70280</v>
      </c>
      <c r="E95" s="39">
        <f>SUM(E69:E94)</f>
        <v>232290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v>13110</v>
      </c>
      <c r="E98" s="62">
        <f t="shared" ref="E98:E118" si="3">TRUNC(+D98*3.3058,-1)</f>
        <v>43330</v>
      </c>
    </row>
    <row r="99" spans="1:7" x14ac:dyDescent="0.3">
      <c r="A99" s="2">
        <v>2</v>
      </c>
      <c r="C99" s="38" t="s">
        <v>40</v>
      </c>
      <c r="D99" s="42">
        <f>TRUNC(1623,-1)</f>
        <v>1620</v>
      </c>
      <c r="E99" s="63">
        <f t="shared" si="3"/>
        <v>5350</v>
      </c>
    </row>
    <row r="100" spans="1:7" x14ac:dyDescent="0.3">
      <c r="A100" s="2">
        <v>3</v>
      </c>
      <c r="C100" s="38" t="s">
        <v>41</v>
      </c>
      <c r="D100" s="42">
        <f>TRUNC(18578,-1)</f>
        <v>18570</v>
      </c>
      <c r="E100" s="63">
        <f t="shared" si="3"/>
        <v>61380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TRUNC(11872,-1)</f>
        <v>11870</v>
      </c>
      <c r="E102" s="63">
        <f t="shared" si="3"/>
        <v>39230</v>
      </c>
    </row>
    <row r="103" spans="1:7" x14ac:dyDescent="0.3">
      <c r="A103" s="2">
        <v>6</v>
      </c>
      <c r="C103" s="38" t="s">
        <v>44</v>
      </c>
      <c r="D103" s="42">
        <f>TRUNC(4956,-1)</f>
        <v>4950</v>
      </c>
      <c r="E103" s="63">
        <f t="shared" si="3"/>
        <v>16360</v>
      </c>
    </row>
    <row r="104" spans="1:7" x14ac:dyDescent="0.3">
      <c r="A104" s="2">
        <v>7</v>
      </c>
      <c r="C104" s="38" t="s">
        <v>45</v>
      </c>
      <c r="D104" s="42">
        <f>TRUNC(734,-1)</f>
        <v>730</v>
      </c>
      <c r="E104" s="63">
        <f t="shared" si="3"/>
        <v>2410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TRUNC(62456,-1)</f>
        <v>62450</v>
      </c>
      <c r="E117" s="63">
        <f t="shared" si="3"/>
        <v>206440</v>
      </c>
    </row>
    <row r="118" spans="1:7" ht="17.25" thickBot="1" x14ac:dyDescent="0.35">
      <c r="A118" s="2">
        <v>21</v>
      </c>
      <c r="C118" s="38" t="s">
        <v>47</v>
      </c>
      <c r="D118" s="43">
        <v>630</v>
      </c>
      <c r="E118" s="64">
        <f t="shared" si="3"/>
        <v>2080</v>
      </c>
    </row>
    <row r="119" spans="1:7" x14ac:dyDescent="0.3">
      <c r="A119" s="2">
        <v>22</v>
      </c>
      <c r="C119" s="27" t="s">
        <v>112</v>
      </c>
      <c r="D119" s="39">
        <f>SUM(D98:D118)</f>
        <v>113930</v>
      </c>
      <c r="E119" s="39">
        <f>SUM(E98:E118)</f>
        <v>376580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TRUNC(2286,-1)</f>
        <v>2280</v>
      </c>
      <c r="E122" s="62">
        <f t="shared" ref="E122:E132" si="4">TRUNC(+D122*3.3058,-1)</f>
        <v>7530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TRUNC(624,-1)</f>
        <v>620</v>
      </c>
      <c r="E124" s="63">
        <f t="shared" si="4"/>
        <v>2040</v>
      </c>
    </row>
    <row r="125" spans="1:7" x14ac:dyDescent="0.3">
      <c r="A125" s="2">
        <v>4</v>
      </c>
      <c r="C125" s="38" t="s">
        <v>138</v>
      </c>
      <c r="D125" s="42">
        <f>TRUNC(5917,-1)</f>
        <v>5910</v>
      </c>
      <c r="E125" s="63">
        <f t="shared" si="4"/>
        <v>19530</v>
      </c>
    </row>
    <row r="126" spans="1:7" x14ac:dyDescent="0.3">
      <c r="A126" s="2">
        <v>5</v>
      </c>
      <c r="C126" s="38" t="s">
        <v>53</v>
      </c>
      <c r="D126" s="42">
        <f>TRUNC(889,-1)</f>
        <v>880</v>
      </c>
      <c r="E126" s="63">
        <f t="shared" si="4"/>
        <v>2900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TRUNC(2282,-1)</f>
        <v>2280</v>
      </c>
      <c r="E128" s="63">
        <f t="shared" si="4"/>
        <v>7530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9110</v>
      </c>
      <c r="E130" s="63">
        <f t="shared" si="4"/>
        <v>30110</v>
      </c>
    </row>
    <row r="131" spans="1:7" x14ac:dyDescent="0.3">
      <c r="A131" s="2">
        <v>10</v>
      </c>
      <c r="C131" s="38" t="s">
        <v>149</v>
      </c>
      <c r="D131" s="42">
        <f>TRUNC(34087,-1)</f>
        <v>34080</v>
      </c>
      <c r="E131" s="63">
        <f t="shared" si="4"/>
        <v>112660</v>
      </c>
    </row>
    <row r="132" spans="1:7" ht="18" thickBot="1" x14ac:dyDescent="0.35">
      <c r="A132" s="2">
        <v>11</v>
      </c>
      <c r="C132" s="38" t="s">
        <v>47</v>
      </c>
      <c r="D132" s="43">
        <f>TRUNC(603,-1)</f>
        <v>600</v>
      </c>
      <c r="E132" s="64">
        <f t="shared" si="4"/>
        <v>1980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55760</v>
      </c>
      <c r="E133" s="39">
        <f>SUM(E122:E132)</f>
        <v>184280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TRUNC(9777,-1)</f>
        <v>9770</v>
      </c>
      <c r="E137" s="63">
        <f t="shared" si="5"/>
        <v>32290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TRUNC(13042,-1)</f>
        <v>13040</v>
      </c>
      <c r="E140" s="63">
        <f t="shared" si="5"/>
        <v>43100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22810</v>
      </c>
      <c r="E146" s="39">
        <f>SUM(E136:E145)</f>
        <v>75390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TRUNC(9735+1699,-1)</f>
        <v>11430</v>
      </c>
      <c r="E149" s="62">
        <f>TRUNC(+D149*3.3058,-1)</f>
        <v>37780</v>
      </c>
    </row>
    <row r="150" spans="1:7" x14ac:dyDescent="0.3">
      <c r="A150" s="2">
        <v>2</v>
      </c>
      <c r="C150" s="38" t="s">
        <v>49</v>
      </c>
      <c r="D150" s="42">
        <v>15620</v>
      </c>
      <c r="E150" s="63">
        <f>TRUNC(+D150*3.3058,-1)</f>
        <v>51630</v>
      </c>
    </row>
    <row r="151" spans="1:7" x14ac:dyDescent="0.3">
      <c r="A151" s="2">
        <v>3</v>
      </c>
      <c r="C151" s="38" t="s">
        <v>50</v>
      </c>
      <c r="D151" s="42">
        <f>TRUNC(10436,-1)</f>
        <v>10430</v>
      </c>
      <c r="E151" s="63">
        <f>TRUNC(+D151*3.3058,-1)</f>
        <v>34470</v>
      </c>
    </row>
    <row r="152" spans="1:7" x14ac:dyDescent="0.3">
      <c r="A152" s="2">
        <v>4</v>
      </c>
      <c r="C152" s="38" t="s">
        <v>47</v>
      </c>
      <c r="D152" s="42">
        <f>TRUNC(1079+83+517,-1)</f>
        <v>1670</v>
      </c>
      <c r="E152" s="63">
        <f>TRUNC(+D152*3.3058,-1)</f>
        <v>5520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39150</v>
      </c>
      <c r="E154" s="39">
        <f>SUM(E149:E153)</f>
        <v>129400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TRUNC(15437,-1)</f>
        <v>15430</v>
      </c>
      <c r="E157" s="62">
        <f>TRUNC(+D157*3.3058,-1)</f>
        <v>51000</v>
      </c>
    </row>
    <row r="158" spans="1:7" x14ac:dyDescent="0.3">
      <c r="A158" s="2">
        <v>2</v>
      </c>
      <c r="C158" s="38" t="s">
        <v>52</v>
      </c>
      <c r="D158" s="42">
        <v>3580</v>
      </c>
      <c r="E158" s="63">
        <f>TRUNC(+D158*3.3058,-1)</f>
        <v>11830</v>
      </c>
    </row>
    <row r="159" spans="1:7" x14ac:dyDescent="0.3">
      <c r="A159" s="2">
        <v>3</v>
      </c>
      <c r="C159" s="38" t="s">
        <v>47</v>
      </c>
      <c r="D159" s="42">
        <f>TRUNC(3043+200,-1)</f>
        <v>3240</v>
      </c>
      <c r="E159" s="63">
        <f>TRUNC(+D159*3.3058,-1)</f>
        <v>10710</v>
      </c>
      <c r="F159" s="2" t="s">
        <v>254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22250</v>
      </c>
      <c r="E161" s="39">
        <f>SUM(E157:E160)</f>
        <v>73540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2020-12-08T01:31:00Z</dcterms:modified>
</cp:coreProperties>
</file>