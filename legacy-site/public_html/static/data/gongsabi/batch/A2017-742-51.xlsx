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3" i="4" l="1"/>
  <c r="D145" i="4"/>
  <c r="D131" i="4"/>
  <c r="D117" i="4"/>
  <c r="D93" i="4"/>
  <c r="D59" i="4"/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5" i="4"/>
  <c r="D124" i="4"/>
  <c r="D122" i="4"/>
  <c r="D116" i="4"/>
  <c r="D114" i="4"/>
  <c r="D105" i="4"/>
  <c r="D104" i="4"/>
  <c r="D103" i="4"/>
  <c r="D102" i="4"/>
  <c r="D101" i="4"/>
  <c r="D100" i="4"/>
  <c r="D99" i="4"/>
  <c r="D98" i="4"/>
  <c r="D92" i="4"/>
  <c r="D91" i="4"/>
  <c r="D90" i="4"/>
  <c r="D89" i="4"/>
  <c r="D76" i="4"/>
  <c r="D75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<sst xmlns="http://schemas.openxmlformats.org/spreadsheetml/2006/main" count="394" uniqueCount="271">
  <si>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</si>
  <si>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</si>
  <si>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</si>
  <si>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</si>
  <si>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</si>
  <si>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</si>
  <si>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</si>
  <si>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</si>
  <si>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</si>
  <si>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</si>
  <si>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</si>
  <si>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</si>
  <si>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</si>
  <si>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</si>
  <si>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</si>
  <si>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</si>
  <si>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</si>
  <si>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</si>
  <si>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</si>
  <si>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</si>
  <si>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</si>
  <si>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</si>
  <si>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</si>
  <si>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</si>
  <si>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</si>
  <si>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</si>
  <si>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</si>
  <si>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</si>
  <si>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</si>
  <si>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</si>
  <si>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</si>
  <si>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</si>
  <si>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</si>
  <si>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</si>
  <si>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</si>
  <si>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</si>
  <si>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</si>
  <si>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</si>
  <si>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</si>
  <si>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</si>
  <si>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</si>
  <si>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</si>
  <si>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</si>
  <si>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</si>
  <si>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</si>
  <si>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</si>
  <si>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</si>
  <si>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</si>
  <si>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</si>
  <si>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</si>
  <si>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</si>
  <si>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</si>
  <si>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</si>
  <si>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</si>
  <si>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</si>
  <si>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</si>
  <si>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</si>
  <si>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</si>
  <si>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</si>
  <si>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</si>
  <si>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</si>
  <si>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</si>
  <si>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</si>
  <si>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</si>
  <si>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</si>
  <si>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</si>
  <si>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</si>
  <si>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</si>
  <si>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</si>
  <si>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</si>
  <si>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</si>
  <si>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</si>
  <si>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</si>
  <si>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</si>
  <si>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</si>
  <si>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</si>
  <si>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</si>
  <si>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</si>
  <si>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</si>
  <si>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</si>
  <si>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</si>
  <si>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</si>
  <si>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</si>
  <si>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</si>
  <si>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</si>
  <si>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</si>
  <si>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</si>
  <si>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</si>
  <si>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</si>
  <si>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</si>
  <si>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</si>
  <si>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</si>
  <si>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</si>
  <si>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</si>
  <si>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</si>
  <si>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</si>
  <si>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</si>
  <si>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</si>
  <si>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</si>
  <si>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</si>
  <si>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</si>
  <si>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</si>
  <si>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</si>
  <si>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</si>
  <si>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</si>
  <si>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</si>
  <si>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</si>
  <si>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</si>
  <si>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</si>
  <si>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</si>
  <si>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</si>
  <si>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</si>
  <si>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</si>
  <si>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</si>
  <si>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</si>
  <si>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</si>
  <si>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</si>
  <si>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</si>
  <si>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</si>
  <si>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</si>
  <si>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</si>
  <si>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</si>
  <si>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</si>
  <si>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</si>
  <si>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</si>
  <si>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</si>
  <si>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</si>
  <si>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</si>
  <si>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</si>
  <si>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</si>
  <si>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</si>
  <si>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</si>
  <si>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</si>
  <si>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</si>
  <si>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</si>
  <si>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</si>
  <si>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</si>
  <si>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</si>
  <si>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</si>
  <si>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</si>
  <si>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</si>
  <si>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</si>
  <si>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</si>
  <si>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</si>
  <si>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</si>
  <si>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</si>
  <si>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</si>
  <si>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</si>
  <si>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</si>
  <si>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</si>
  <si>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</si>
  <si>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</si>
  <si>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</si>
  <si>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</si>
  <si>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</si>
  <si>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</si>
  <si>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</si>
  <si>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</si>
  <si>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</si>
  <si>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</si>
  <si>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</si>
  <si>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</si>
  <si>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</si>
  <si>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</si>
  <si>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</si>
  <si>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</si>
  <si>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</si>
  <si>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</si>
  <si>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</si>
  <si>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</si>
  <si>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</si>
  <si>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</si>
  <si>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</si>
  <si>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</si>
  <si>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</si>
  <si>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</si>
  <si>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</si>
  <si>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</si>
  <si>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</si>
  <si>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</si>
  <si>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</si>
  <si>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</si>
  <si>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</si>
  <si>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</si>
  <si>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</si>
  <si>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</si>
  <si>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</si>
  <si>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</si>
  <si>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</si>
  <si>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</si>
  <si>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</si>
  <si>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</si>
  <si>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</si>
  <si>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</si>
  <si>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</si>
  <si>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</si>
  <si>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</si>
  <si>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</si>
  <si>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</si>
  <si>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</si>
  <si>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</si>
  <si>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</si>
  <si>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</si>
  <si>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</si>
  <si>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</si>
  <si>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</si>
  <si>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</si>
  <si>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</si>
  <si>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</si>
  <si>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</si>
  <si>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</si>
  <si>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</si>
  <si>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</si>
  <si>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</si>
  <si>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</si>
  <si>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</si>
  <si>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</si>
  <si>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</si>
  <si>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</si>
  <si>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</si>
  <si>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</si>
  <si>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</si>
  <si>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</si>
  <si>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</si>
  <si>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</si>
  <si>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</si>
  <si>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</si>
  <si>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</si>
  <si>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</si>
  <si>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</si>
  <si>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</si>
  <si>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</si>
  <si>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</si>
  <si>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</si>
  <si>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</si>
  <si>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</si>
  <si>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</si>
  <si>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</si>
  <si>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</si>
  <si>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</si>
  <si>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</si>
  <si>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</si>
  <si>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</si>
  <si>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</si>
  <si>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</si>
  <si>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</si>
  <si>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</si>
  <si>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</si>
  <si>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</si>
  <si>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</si>
  <si>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어린이복합문화센터 건립공사</t>
    <phoneticPr fontId="2" type="noConversion"/>
  </si>
  <si>
    <t>문화및집회</t>
  </si>
  <si>
    <t>경기도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</si>
  <si>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</si>
  <si>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</si>
  <si>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</si>
  <si>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</si>
  <si>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</si>
  <si>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</si>
  <si>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</si>
  <si>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</si>
  <si>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</si>
  <si>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</si>
  <si>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</si>
  <si>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</si>
  <si>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공조배관공사,기타공사, 바닥난방공사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</si>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</sst>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158</v>
      </c>
      <c r="B2" s="72" t="s">
        <v>0</v>
      </c>
      <c r="C2" s="73"/>
      <c r="D2" s="72" t="s">
        <v>1</v>
      </c>
      <c r="E2" s="73"/>
      <c r="F2" s="72" t="s">
        <v>159</v>
      </c>
      <c r="G2" s="73"/>
      <c r="H2" s="72" t="s">
        <v>2</v>
      </c>
      <c r="I2" s="73"/>
      <c r="J2" s="72" t="s">
        <v>3</v>
      </c>
      <c r="K2" s="73"/>
      <c r="L2" s="72" t="s">
        <v>160</v>
      </c>
      <c r="M2" s="73"/>
      <c r="N2" s="72" t="s">
        <v>161</v>
      </c>
      <c r="O2" s="73"/>
      <c r="P2" s="72" t="s">
        <v>5</v>
      </c>
      <c r="Q2" s="73"/>
      <c r="R2" s="66" t="s">
        <v>95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103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104</v>
      </c>
      <c r="C4" s="36" t="s">
        <v>251</v>
      </c>
    </row>
    <row r="6" spans="1:4" ht="17.25" thickBot="1" x14ac:dyDescent="0.35">
      <c r="A6" s="2">
        <v>3</v>
      </c>
      <c r="B6" s="2" t="s">
        <v>152</v>
      </c>
      <c r="C6" s="2" t="s">
        <v>105</v>
      </c>
      <c r="D6" s="35" t="s">
        <v>238</v>
      </c>
    </row>
    <row r="7" spans="1:4" ht="17.25" thickBot="1" x14ac:dyDescent="0.35">
      <c r="C7" s="37">
        <v>12031.26</v>
      </c>
      <c r="D7" s="36">
        <f>+C7/3.3058</f>
        <v>3639.4397725210238</v>
      </c>
    </row>
    <row r="8" spans="1:4" ht="17.25" thickBot="1" x14ac:dyDescent="0.35"/>
    <row r="9" spans="1:4" ht="17.25" thickBot="1" x14ac:dyDescent="0.35">
      <c r="A9" s="2">
        <v>4</v>
      </c>
      <c r="B9" s="2" t="s">
        <v>106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107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108</v>
      </c>
      <c r="C13" s="36" t="s">
        <v>115</v>
      </c>
    </row>
    <row r="14" spans="1:4" ht="17.25" thickBot="1" x14ac:dyDescent="0.35"/>
    <row r="15" spans="1:4" ht="17.25" thickBot="1" x14ac:dyDescent="0.35">
      <c r="A15" s="2">
        <v>7</v>
      </c>
      <c r="B15" s="2" t="s">
        <v>109</v>
      </c>
      <c r="C15" s="36" t="s">
        <v>151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110</v>
      </c>
      <c r="C23" s="2" t="s">
        <v>114</v>
      </c>
      <c r="D23" s="2" t="s">
        <v>239</v>
      </c>
      <c r="E23" s="35" t="s">
        <v>155</v>
      </c>
    </row>
    <row r="24" spans="1:5" x14ac:dyDescent="0.3">
      <c r="B24" s="2">
        <v>1</v>
      </c>
      <c r="C24" s="35" t="s">
        <v>111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112</v>
      </c>
      <c r="D25" s="45">
        <f>+D60</f>
        <v>963430</v>
      </c>
      <c r="E25" s="59">
        <f t="shared" si="0"/>
        <v>3184900</v>
      </c>
    </row>
    <row r="26" spans="1:5" x14ac:dyDescent="0.3">
      <c r="B26" s="2">
        <v>3</v>
      </c>
      <c r="C26" s="35" t="s">
        <v>96</v>
      </c>
      <c r="D26" s="45">
        <f>+D66</f>
        <v>202630</v>
      </c>
      <c r="E26" s="59">
        <f t="shared" si="0"/>
        <v>669850</v>
      </c>
    </row>
    <row r="27" spans="1:5" x14ac:dyDescent="0.3">
      <c r="B27" s="2">
        <v>4</v>
      </c>
      <c r="C27" s="35" t="s">
        <v>97</v>
      </c>
      <c r="D27" s="45">
        <f>+D95</f>
        <v>176370</v>
      </c>
      <c r="E27" s="59">
        <f t="shared" si="0"/>
        <v>583040</v>
      </c>
    </row>
    <row r="28" spans="1:5" x14ac:dyDescent="0.3">
      <c r="B28" s="2">
        <v>5</v>
      </c>
      <c r="C28" s="35" t="s">
        <v>98</v>
      </c>
      <c r="D28" s="45">
        <f>+D119</f>
        <v>188290</v>
      </c>
      <c r="E28" s="59">
        <f t="shared" si="0"/>
        <v>622440</v>
      </c>
    </row>
    <row r="29" spans="1:5" x14ac:dyDescent="0.3">
      <c r="B29" s="2">
        <v>6</v>
      </c>
      <c r="C29" s="35" t="s">
        <v>99</v>
      </c>
      <c r="D29" s="45">
        <f>+D133</f>
        <v>150970</v>
      </c>
      <c r="E29" s="59">
        <f t="shared" si="0"/>
        <v>499070</v>
      </c>
    </row>
    <row r="30" spans="1:5" x14ac:dyDescent="0.3">
      <c r="B30" s="2">
        <v>7</v>
      </c>
      <c r="C30" s="35" t="s">
        <v>100</v>
      </c>
      <c r="D30" s="45">
        <f>+D146</f>
        <v>69390</v>
      </c>
      <c r="E30" s="59">
        <f t="shared" si="0"/>
        <v>229380</v>
      </c>
    </row>
    <row r="31" spans="1:5" x14ac:dyDescent="0.3">
      <c r="B31" s="2">
        <v>8</v>
      </c>
      <c r="C31" s="35" t="s">
        <v>101</v>
      </c>
      <c r="D31" s="45">
        <f>+D154</f>
        <v>73020</v>
      </c>
      <c r="E31" s="59">
        <f t="shared" si="0"/>
        <v>241380</v>
      </c>
    </row>
    <row r="32" spans="1:5" x14ac:dyDescent="0.3">
      <c r="B32" s="2">
        <v>9</v>
      </c>
      <c r="C32" s="35" t="s">
        <v>102</v>
      </c>
      <c r="D32" s="45">
        <f>+D161</f>
        <v>71730</v>
      </c>
      <c r="E32" s="59">
        <f t="shared" si="0"/>
        <v>237120</v>
      </c>
    </row>
    <row r="33" spans="1:7" x14ac:dyDescent="0.3">
      <c r="B33" s="2">
        <v>10</v>
      </c>
      <c r="C33" s="35" t="s">
        <v>156</v>
      </c>
      <c r="D33" s="53">
        <f>TRUNC(SUM(D24:D32)*0.275,-1)</f>
        <v>521350</v>
      </c>
      <c r="E33" s="60">
        <f t="shared" si="0"/>
        <v>1723470</v>
      </c>
    </row>
    <row r="34" spans="1:7" x14ac:dyDescent="0.3">
      <c r="C34" s="35" t="s">
        <v>113</v>
      </c>
      <c r="D34" s="44">
        <f>SUM(D24:D33)</f>
        <v>2417180</v>
      </c>
      <c r="E34" s="44">
        <f>SUM(E24:E33)</f>
        <v>7990650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237</v>
      </c>
      <c r="E36" s="57" t="s">
        <v>155</v>
      </c>
      <c r="G36" s="55"/>
    </row>
    <row r="37" spans="1:7" ht="17.25" thickBot="1" x14ac:dyDescent="0.35">
      <c r="C37" s="38" t="s">
        <v>144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145</v>
      </c>
      <c r="C39" s="56" t="s">
        <v>266</v>
      </c>
      <c r="D39" s="57" t="s">
        <v>267</v>
      </c>
      <c r="E39" s="57" t="s">
        <v>268</v>
      </c>
      <c r="G39" s="55"/>
    </row>
    <row r="40" spans="1:7" x14ac:dyDescent="0.3">
      <c r="A40" s="2">
        <v>1</v>
      </c>
      <c r="C40" s="38" t="s">
        <v>15</v>
      </c>
      <c r="D40" s="40">
        <f>TRUNC(39345,-1)</f>
        <v>39340</v>
      </c>
      <c r="E40" s="62">
        <f t="shared" ref="E40:E59" si="1">TRUNC(+D40*3.3058,-1)</f>
        <v>130050</v>
      </c>
    </row>
    <row r="41" spans="1:7" x14ac:dyDescent="0.3">
      <c r="A41" s="2">
        <v>2</v>
      </c>
      <c r="C41" s="38" t="s">
        <v>13</v>
      </c>
      <c r="D41" s="42">
        <f>TRUNC(105105,-1)</f>
        <v>105100</v>
      </c>
      <c r="E41" s="63">
        <f t="shared" si="1"/>
        <v>347430</v>
      </c>
    </row>
    <row r="42" spans="1:7" x14ac:dyDescent="0.3">
      <c r="A42" s="2">
        <v>3</v>
      </c>
      <c r="C42" s="38" t="s">
        <v>14</v>
      </c>
      <c r="D42" s="42">
        <f>TRUNC(111240,-1)</f>
        <v>111240</v>
      </c>
      <c r="E42" s="63">
        <f t="shared" si="1"/>
        <v>367730</v>
      </c>
    </row>
    <row r="43" spans="1:7" x14ac:dyDescent="0.3">
      <c r="A43" s="2">
        <v>4</v>
      </c>
      <c r="C43" s="38" t="s">
        <v>16</v>
      </c>
      <c r="D43" s="42">
        <f>TRUNC(11740,-1)</f>
        <v>11740</v>
      </c>
      <c r="E43" s="63">
        <f t="shared" si="1"/>
        <v>38810</v>
      </c>
    </row>
    <row r="44" spans="1:7" x14ac:dyDescent="0.3">
      <c r="A44" s="2">
        <v>5</v>
      </c>
      <c r="C44" s="38" t="s">
        <v>17</v>
      </c>
      <c r="D44" s="42">
        <f>TRUNC(34513,-1)</f>
        <v>34510</v>
      </c>
      <c r="E44" s="63">
        <f t="shared" si="1"/>
        <v>114080</v>
      </c>
    </row>
    <row r="45" spans="1:7" x14ac:dyDescent="0.3">
      <c r="A45" s="2">
        <v>6</v>
      </c>
      <c r="C45" s="38" t="s">
        <v>18</v>
      </c>
      <c r="D45" s="42">
        <f>TRUNC(10058,-1)</f>
        <v>10050</v>
      </c>
      <c r="E45" s="63">
        <f t="shared" si="1"/>
        <v>33220</v>
      </c>
    </row>
    <row r="46" spans="1:7" x14ac:dyDescent="0.3">
      <c r="A46" s="2">
        <v>7</v>
      </c>
      <c r="C46" s="38" t="s">
        <v>19</v>
      </c>
      <c r="D46" s="42">
        <f>TRUNC(12305,-1)</f>
        <v>12300</v>
      </c>
      <c r="E46" s="63">
        <f t="shared" si="1"/>
        <v>40660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TRUNC(135267,-1)</f>
        <v>135260</v>
      </c>
      <c r="E48" s="63">
        <f t="shared" si="1"/>
        <v>447140</v>
      </c>
      <c r="F48" s="2" t="s">
        <v>253</v>
      </c>
    </row>
    <row r="49" spans="1:7" x14ac:dyDescent="0.3">
      <c r="A49" s="2">
        <v>10</v>
      </c>
      <c r="C49" s="38" t="s">
        <v>22</v>
      </c>
      <c r="D49" s="42">
        <f>TRUNC(13682,-1)</f>
        <v>13680</v>
      </c>
      <c r="E49" s="63">
        <f t="shared" si="1"/>
        <v>45220</v>
      </c>
    </row>
    <row r="50" spans="1:7" x14ac:dyDescent="0.3">
      <c r="A50" s="2">
        <v>11</v>
      </c>
      <c r="C50" s="38" t="s">
        <v>157</v>
      </c>
      <c r="D50" s="42">
        <f>TRUNC(38157,-1)</f>
        <v>38150</v>
      </c>
      <c r="E50" s="63">
        <f t="shared" si="1"/>
        <v>126110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TRUNC(28785,-1)</f>
        <v>28780</v>
      </c>
      <c r="E52" s="63">
        <f t="shared" si="1"/>
        <v>95140</v>
      </c>
    </row>
    <row r="53" spans="1:7" x14ac:dyDescent="0.3">
      <c r="A53" s="2">
        <v>14</v>
      </c>
      <c r="C53" s="38" t="s">
        <v>25</v>
      </c>
      <c r="D53" s="42">
        <f>TRUNC(121311,-1)</f>
        <v>121310</v>
      </c>
      <c r="E53" s="63">
        <f t="shared" si="1"/>
        <v>401020</v>
      </c>
      <c r="F53" s="2" t="s">
        <v>255</v>
      </c>
    </row>
    <row r="54" spans="1:7" x14ac:dyDescent="0.3">
      <c r="A54" s="2">
        <v>15</v>
      </c>
      <c r="C54" s="38" t="s">
        <v>149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146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147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148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TRUNC(277+4382-1254+2745+8492,-1)</f>
        <v>14640</v>
      </c>
      <c r="E58" s="63">
        <f t="shared" si="1"/>
        <v>48390</v>
      </c>
      <c r="F58" s="2" t="s">
        <v>256</v>
      </c>
    </row>
    <row r="59" spans="1:7" ht="17.25" thickBot="1" x14ac:dyDescent="0.35">
      <c r="A59" s="2">
        <v>20</v>
      </c>
      <c r="C59" s="38" t="s">
        <v>150</v>
      </c>
      <c r="D59" s="43">
        <f>TRUNC(287335,-1)</f>
        <v>287330</v>
      </c>
      <c r="E59" s="64">
        <f t="shared" si="1"/>
        <v>949850</v>
      </c>
    </row>
    <row r="60" spans="1:7" x14ac:dyDescent="0.3">
      <c r="A60" s="2">
        <v>21</v>
      </c>
      <c r="C60" s="27" t="s">
        <v>113</v>
      </c>
      <c r="D60" s="39">
        <f>SUM(D40:D59)</f>
        <v>963430</v>
      </c>
      <c r="E60" s="39">
        <f>SUM(E40:E59)</f>
        <v>3184850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155</v>
      </c>
      <c r="G62" s="55"/>
    </row>
    <row r="63" spans="1:7" x14ac:dyDescent="0.3">
      <c r="A63" s="2">
        <v>1</v>
      </c>
      <c r="C63" s="38" t="s">
        <v>27</v>
      </c>
      <c r="D63" s="40">
        <f>TRUNC(51004,-1)</f>
        <v>51000</v>
      </c>
      <c r="E63" s="62">
        <f>TRUNC(+D63*3.3058,-1)</f>
        <v>168590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TRUNC(151634,-1)</f>
        <v>151630</v>
      </c>
      <c r="E65" s="64">
        <f>TRUNC(+D65*3.3058,-1)</f>
        <v>501250</v>
      </c>
    </row>
    <row r="66" spans="1:7" x14ac:dyDescent="0.3">
      <c r="A66" s="2">
        <v>4</v>
      </c>
      <c r="C66" s="27" t="s">
        <v>113</v>
      </c>
      <c r="D66" s="39">
        <f>SUM(D63:D65)</f>
        <v>202630</v>
      </c>
      <c r="E66" s="65">
        <f>SUM(E63:E65)</f>
        <v>669840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237</v>
      </c>
      <c r="E68" s="57" t="s">
        <v>155</v>
      </c>
      <c r="G68" s="55"/>
    </row>
    <row r="69" spans="1:7" x14ac:dyDescent="0.3">
      <c r="A69" s="2">
        <v>1</v>
      </c>
      <c r="C69" s="38" t="s">
        <v>30</v>
      </c>
      <c r="D69" s="40">
        <f>TRUNC(13844,-1)</f>
        <v>13840</v>
      </c>
      <c r="E69" s="62">
        <f t="shared" ref="E69:E94" si="2">TRUNC(+D69*3.3058,-1)</f>
        <v>45750</v>
      </c>
    </row>
    <row r="70" spans="1:7" ht="16.5" customHeight="1" x14ac:dyDescent="0.3">
      <c r="A70" s="2">
        <v>2</v>
      </c>
      <c r="C70" s="38" t="s">
        <v>31</v>
      </c>
      <c r="D70" s="42">
        <f>TRUNC(740,-1)</f>
        <v>740</v>
      </c>
      <c r="E70" s="63">
        <f t="shared" si="2"/>
        <v>2440</v>
      </c>
    </row>
    <row r="71" spans="1:7" x14ac:dyDescent="0.3">
      <c r="A71" s="2">
        <v>3</v>
      </c>
      <c r="C71" s="38" t="s">
        <v>32</v>
      </c>
      <c r="D71" s="42">
        <f>TRUNC(4164,-1)</f>
        <v>4160</v>
      </c>
      <c r="E71" s="63">
        <f t="shared" si="2"/>
        <v>13750</v>
      </c>
    </row>
    <row r="72" spans="1:7" x14ac:dyDescent="0.3">
      <c r="A72" s="2">
        <v>4</v>
      </c>
      <c r="C72" s="38" t="s">
        <v>33</v>
      </c>
      <c r="D72" s="42">
        <f>TRUNC(1083,-1)</f>
        <v>1080</v>
      </c>
      <c r="E72" s="63">
        <f t="shared" si="2"/>
        <v>3570</v>
      </c>
    </row>
    <row r="73" spans="1:7" x14ac:dyDescent="0.3">
      <c r="A73" s="2">
        <v>5</v>
      </c>
      <c r="C73" s="38" t="s">
        <v>34</v>
      </c>
      <c r="D73" s="42">
        <f>TRUNC(8236,-1)</f>
        <v>8230</v>
      </c>
      <c r="E73" s="63">
        <f t="shared" si="2"/>
        <v>27200</v>
      </c>
    </row>
    <row r="74" spans="1:7" x14ac:dyDescent="0.3">
      <c r="A74" s="2">
        <v>6</v>
      </c>
      <c r="C74" s="38" t="s">
        <v>178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141</v>
      </c>
      <c r="D75" s="42">
        <f>TRUNC(69,-1)</f>
        <v>60</v>
      </c>
      <c r="E75" s="63">
        <f t="shared" si="2"/>
        <v>190</v>
      </c>
    </row>
    <row r="76" spans="1:7" x14ac:dyDescent="0.3">
      <c r="A76" s="2">
        <v>8</v>
      </c>
      <c r="C76" s="38" t="s">
        <v>120</v>
      </c>
      <c r="D76" s="42">
        <f>TRUNC(36892,-1)</f>
        <v>36890</v>
      </c>
      <c r="E76" s="63">
        <f t="shared" si="2"/>
        <v>121950</v>
      </c>
    </row>
    <row r="77" spans="1:7" x14ac:dyDescent="0.3">
      <c r="A77" s="2">
        <v>9</v>
      </c>
      <c r="C77" s="38" t="s">
        <v>154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138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134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129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135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137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123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124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142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140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143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TRUNC(9058,-1)</f>
        <v>9050</v>
      </c>
      <c r="E89" s="63">
        <f t="shared" si="2"/>
        <v>29910</v>
      </c>
    </row>
    <row r="90" spans="1:7" x14ac:dyDescent="0.3">
      <c r="A90" s="2">
        <v>22</v>
      </c>
      <c r="C90" s="38" t="s">
        <v>36</v>
      </c>
      <c r="D90" s="42">
        <f>TRUNC(1318,-1)</f>
        <v>1310</v>
      </c>
      <c r="E90" s="63">
        <f t="shared" si="2"/>
        <v>4330</v>
      </c>
    </row>
    <row r="91" spans="1:7" x14ac:dyDescent="0.3">
      <c r="A91" s="2">
        <v>23</v>
      </c>
      <c r="C91" s="38" t="s">
        <v>37</v>
      </c>
      <c r="D91" s="42">
        <f>TRUNC(29399,-1)</f>
        <v>29390</v>
      </c>
      <c r="E91" s="63">
        <f t="shared" si="2"/>
        <v>97150</v>
      </c>
    </row>
    <row r="92" spans="1:7" x14ac:dyDescent="0.3">
      <c r="A92" s="2">
        <v>24</v>
      </c>
      <c r="C92" s="38" t="s">
        <v>38</v>
      </c>
      <c r="D92" s="42">
        <f>TRUNC(4354,-1)</f>
        <v>4350</v>
      </c>
      <c r="E92" s="63">
        <f t="shared" si="2"/>
        <v>14380</v>
      </c>
    </row>
    <row r="93" spans="1:7" x14ac:dyDescent="0.3">
      <c r="A93" s="2">
        <v>25</v>
      </c>
      <c r="C93" s="38" t="s">
        <v>150</v>
      </c>
      <c r="D93" s="42">
        <f>TRUNC(62034,-1)</f>
        <v>62030</v>
      </c>
      <c r="E93" s="63">
        <f t="shared" si="2"/>
        <v>205050</v>
      </c>
    </row>
    <row r="94" spans="1:7" ht="17.25" thickBot="1" x14ac:dyDescent="0.35">
      <c r="A94" s="2">
        <v>26</v>
      </c>
      <c r="C94" s="38" t="s">
        <v>47</v>
      </c>
      <c r="D94" s="43">
        <f>TRUNC(500+3495+1250,-1)</f>
        <v>5240</v>
      </c>
      <c r="E94" s="64">
        <f t="shared" si="2"/>
        <v>17320</v>
      </c>
      <c r="F94" s="2" t="s">
        <v>265</v>
      </c>
    </row>
    <row r="95" spans="1:7" x14ac:dyDescent="0.3">
      <c r="A95" s="2">
        <v>27</v>
      </c>
      <c r="C95" s="27" t="s">
        <v>113</v>
      </c>
      <c r="D95" s="39">
        <f>SUM(D69:D94)</f>
        <v>176370</v>
      </c>
      <c r="E95" s="39">
        <f>SUM(E69:E94)</f>
        <v>582990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237</v>
      </c>
      <c r="E97" s="57" t="s">
        <v>155</v>
      </c>
      <c r="G97" s="55"/>
    </row>
    <row r="98" spans="1:7" x14ac:dyDescent="0.3">
      <c r="A98" s="2">
        <v>1</v>
      </c>
      <c r="C98" s="38" t="s">
        <v>39</v>
      </c>
      <c r="D98" s="40">
        <f>TRUNC(6322,-1)</f>
        <v>6320</v>
      </c>
      <c r="E98" s="62">
        <f t="shared" ref="E98:E118" si="3">TRUNC(+D98*3.3058,-1)</f>
        <v>20890</v>
      </c>
    </row>
    <row r="99" spans="1:7" x14ac:dyDescent="0.3">
      <c r="A99" s="2">
        <v>2</v>
      </c>
      <c r="C99" s="38" t="s">
        <v>40</v>
      </c>
      <c r="D99" s="42">
        <f>TRUNC(4772,-1)</f>
        <v>4770</v>
      </c>
      <c r="E99" s="63">
        <f t="shared" si="3"/>
        <v>15760</v>
      </c>
    </row>
    <row r="100" spans="1:7" x14ac:dyDescent="0.3">
      <c r="A100" s="2">
        <v>3</v>
      </c>
      <c r="C100" s="38" t="s">
        <v>41</v>
      </c>
      <c r="D100" s="42">
        <f>TRUNC(22118,-1)</f>
        <v>22110</v>
      </c>
      <c r="E100" s="63">
        <f t="shared" si="3"/>
        <v>73090</v>
      </c>
    </row>
    <row r="101" spans="1:7" x14ac:dyDescent="0.3">
      <c r="A101" s="2">
        <v>4</v>
      </c>
      <c r="C101" s="38" t="s">
        <v>42</v>
      </c>
      <c r="D101" s="42">
        <f>TRUNC(5147,-1)</f>
        <v>5140</v>
      </c>
      <c r="E101" s="63">
        <f t="shared" si="3"/>
        <v>16990</v>
      </c>
    </row>
    <row r="102" spans="1:7" x14ac:dyDescent="0.3">
      <c r="A102" s="2">
        <v>5</v>
      </c>
      <c r="C102" s="38" t="s">
        <v>43</v>
      </c>
      <c r="D102" s="42">
        <f>TRUNC(4540,-1)</f>
        <v>4540</v>
      </c>
      <c r="E102" s="63">
        <f t="shared" si="3"/>
        <v>15000</v>
      </c>
    </row>
    <row r="103" spans="1:7" x14ac:dyDescent="0.3">
      <c r="A103" s="2">
        <v>6</v>
      </c>
      <c r="C103" s="38" t="s">
        <v>44</v>
      </c>
      <c r="D103" s="42">
        <f>TRUNC(2508,-1)</f>
        <v>2500</v>
      </c>
      <c r="E103" s="63">
        <f t="shared" si="3"/>
        <v>8260</v>
      </c>
    </row>
    <row r="104" spans="1:7" x14ac:dyDescent="0.3">
      <c r="A104" s="2">
        <v>7</v>
      </c>
      <c r="C104" s="38" t="s">
        <v>45</v>
      </c>
      <c r="D104" s="42">
        <f>TRUNC(1747,-1)</f>
        <v>1740</v>
      </c>
      <c r="E104" s="63">
        <f t="shared" si="3"/>
        <v>5750</v>
      </c>
    </row>
    <row r="105" spans="1:7" x14ac:dyDescent="0.3">
      <c r="A105" s="2">
        <v>8</v>
      </c>
      <c r="C105" s="38" t="s">
        <v>46</v>
      </c>
      <c r="D105" s="42">
        <f>TRUNC(1935,-1)</f>
        <v>1930</v>
      </c>
      <c r="E105" s="63">
        <f t="shared" si="3"/>
        <v>6380</v>
      </c>
    </row>
    <row r="106" spans="1:7" x14ac:dyDescent="0.3">
      <c r="A106" s="2">
        <v>9</v>
      </c>
      <c r="C106" s="38" t="s">
        <v>136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118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130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119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131</v>
      </c>
      <c r="D114" s="42">
        <f>TRUNC(1165,-1)</f>
        <v>1160</v>
      </c>
      <c r="E114" s="63">
        <f t="shared" si="3"/>
        <v>3830</v>
      </c>
    </row>
    <row r="115" spans="1:7" x14ac:dyDescent="0.3">
      <c r="A115" s="2">
        <v>18</v>
      </c>
      <c r="C115" s="38" t="s">
        <v>117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116</v>
      </c>
      <c r="D116" s="42">
        <f>TRUNC(5157,-1)</f>
        <v>5150</v>
      </c>
      <c r="E116" s="63">
        <f t="shared" si="3"/>
        <v>17020</v>
      </c>
      <c r="F116" s="2" t="s">
        <v>257</v>
      </c>
    </row>
    <row r="117" spans="1:7" x14ac:dyDescent="0.3">
      <c r="A117" s="2">
        <v>20</v>
      </c>
      <c r="C117" s="38" t="s">
        <v>150</v>
      </c>
      <c r="D117" s="42">
        <f>TRUNC(132937,-1)</f>
        <v>132930</v>
      </c>
      <c r="E117" s="63">
        <f t="shared" si="3"/>
        <v>439430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113</v>
      </c>
      <c r="D119" s="39">
        <f>SUM(D98:D118)</f>
        <v>188290</v>
      </c>
      <c r="E119" s="39">
        <f>SUM(E98:E118)</f>
        <v>622400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237</v>
      </c>
      <c r="E121" s="57" t="s">
        <v>155</v>
      </c>
      <c r="G121" s="55"/>
    </row>
    <row r="122" spans="1:7" x14ac:dyDescent="0.3">
      <c r="A122" s="2">
        <v>1</v>
      </c>
      <c r="C122" s="38" t="s">
        <v>55</v>
      </c>
      <c r="D122" s="40">
        <f>TRUNC(1149,-1)</f>
        <v>1140</v>
      </c>
      <c r="E122" s="62">
        <f t="shared" ref="E122:E132" si="4">TRUNC(+D122*3.3058,-1)</f>
        <v>3760</v>
      </c>
      <c r="F122" s="2" t="s">
        <v>258</v>
      </c>
    </row>
    <row r="123" spans="1:7" x14ac:dyDescent="0.3">
      <c r="A123" s="2">
        <v>2</v>
      </c>
      <c r="C123" s="38" t="s">
        <v>125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153</v>
      </c>
      <c r="D124" s="42">
        <f>TRUNC(1531,-1)</f>
        <v>1530</v>
      </c>
      <c r="E124" s="63">
        <f t="shared" si="4"/>
        <v>5050</v>
      </c>
    </row>
    <row r="125" spans="1:7" x14ac:dyDescent="0.3">
      <c r="A125" s="2">
        <v>4</v>
      </c>
      <c r="C125" s="38" t="s">
        <v>139</v>
      </c>
      <c r="D125" s="42">
        <f>TRUNC(3788,-1)</f>
        <v>3780</v>
      </c>
      <c r="E125" s="63">
        <f t="shared" si="4"/>
        <v>12490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TRUNC(3415,-1)</f>
        <v>3410</v>
      </c>
      <c r="E127" s="63">
        <f t="shared" si="4"/>
        <v>11270</v>
      </c>
    </row>
    <row r="128" spans="1:7" x14ac:dyDescent="0.3">
      <c r="A128" s="2">
        <v>7</v>
      </c>
      <c r="C128" s="38" t="s">
        <v>46</v>
      </c>
      <c r="D128" s="42">
        <f>TRUNC(1427,-1)</f>
        <v>1420</v>
      </c>
      <c r="E128" s="63">
        <f t="shared" si="4"/>
        <v>4690</v>
      </c>
    </row>
    <row r="129" spans="1:7" x14ac:dyDescent="0.3">
      <c r="A129" s="2">
        <v>8</v>
      </c>
      <c r="C129" s="38" t="s">
        <v>127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TRUNC(6375,-1)</f>
        <v>6370</v>
      </c>
      <c r="E130" s="63">
        <f t="shared" si="4"/>
        <v>21050</v>
      </c>
    </row>
    <row r="131" spans="1:7" x14ac:dyDescent="0.3">
      <c r="A131" s="2">
        <v>10</v>
      </c>
      <c r="C131" s="38" t="s">
        <v>150</v>
      </c>
      <c r="D131" s="42">
        <f>TRUNC(126701,-1)</f>
        <v>126700</v>
      </c>
      <c r="E131" s="63">
        <f t="shared" si="4"/>
        <v>418840</v>
      </c>
    </row>
    <row r="132" spans="1:7" ht="18" thickBot="1" x14ac:dyDescent="0.35">
      <c r="A132" s="2">
        <v>11</v>
      </c>
      <c r="C132" s="38" t="s">
        <v>47</v>
      </c>
      <c r="D132" s="43">
        <f>TRUNC(2354+2575+1697,-1)</f>
        <v>6620</v>
      </c>
      <c r="E132" s="64">
        <f t="shared" si="4"/>
        <v>21880</v>
      </c>
      <c r="F132" s="54" t="s">
        <v>259</v>
      </c>
    </row>
    <row r="133" spans="1:7" x14ac:dyDescent="0.3">
      <c r="A133" s="2">
        <v>12</v>
      </c>
      <c r="C133" s="27" t="s">
        <v>113</v>
      </c>
      <c r="D133" s="39">
        <f>SUM(D122:D132)</f>
        <v>150970</v>
      </c>
      <c r="E133" s="39">
        <f>SUM(E122:E132)</f>
        <v>499030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237</v>
      </c>
      <c r="E135" s="57" t="s">
        <v>155</v>
      </c>
      <c r="G135" s="55"/>
    </row>
    <row r="136" spans="1:7" x14ac:dyDescent="0.3">
      <c r="A136" s="2">
        <v>1</v>
      </c>
      <c r="C136" s="38" t="s">
        <v>132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TRUNC(1329+1658+4064+4031+1448,-1)</f>
        <v>12530</v>
      </c>
      <c r="E137" s="63">
        <f t="shared" si="5"/>
        <v>41420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TRUNC(3175,-1)</f>
        <v>3170</v>
      </c>
      <c r="E139" s="63">
        <f t="shared" si="5"/>
        <v>10470</v>
      </c>
    </row>
    <row r="140" spans="1:7" x14ac:dyDescent="0.3">
      <c r="A140" s="2">
        <v>5</v>
      </c>
      <c r="C140" s="38" t="s">
        <v>57</v>
      </c>
      <c r="D140" s="42">
        <f>TRUNC(2565,-1)</f>
        <v>2560</v>
      </c>
      <c r="E140" s="63">
        <f t="shared" si="5"/>
        <v>8460</v>
      </c>
    </row>
    <row r="141" spans="1:7" x14ac:dyDescent="0.3">
      <c r="A141" s="2">
        <v>6</v>
      </c>
      <c r="C141" s="38" t="s">
        <v>59</v>
      </c>
      <c r="D141" s="42">
        <f>TRUNC(29159,-1)</f>
        <v>29150</v>
      </c>
      <c r="E141" s="63">
        <f t="shared" si="5"/>
        <v>96360</v>
      </c>
    </row>
    <row r="142" spans="1:7" x14ac:dyDescent="0.3">
      <c r="A142" s="2">
        <v>7</v>
      </c>
      <c r="C142" s="38" t="s">
        <v>58</v>
      </c>
      <c r="D142" s="42">
        <f>TRUNC(4729,-1)</f>
        <v>4720</v>
      </c>
      <c r="E142" s="63">
        <f t="shared" si="5"/>
        <v>15600</v>
      </c>
    </row>
    <row r="143" spans="1:7" x14ac:dyDescent="0.3">
      <c r="A143" s="2">
        <v>8</v>
      </c>
      <c r="C143" s="38" t="s">
        <v>62</v>
      </c>
      <c r="D143" s="42">
        <f>TRUNC(2902,-1)</f>
        <v>2900</v>
      </c>
      <c r="E143" s="63">
        <f t="shared" si="5"/>
        <v>9580</v>
      </c>
    </row>
    <row r="144" spans="1:7" x14ac:dyDescent="0.3">
      <c r="A144" s="2">
        <v>9</v>
      </c>
      <c r="C144" s="38" t="s">
        <v>63</v>
      </c>
      <c r="D144" s="42">
        <f>TRUNC(12894,-1)</f>
        <v>12890</v>
      </c>
      <c r="E144" s="63">
        <f t="shared" si="5"/>
        <v>42610</v>
      </c>
    </row>
    <row r="145" spans="1:7" ht="17.25" thickBot="1" x14ac:dyDescent="0.35">
      <c r="A145" s="2">
        <v>10</v>
      </c>
      <c r="C145" s="38" t="s">
        <v>150</v>
      </c>
      <c r="D145" s="43">
        <f>TRUNC(1479,-1)</f>
        <v>1470</v>
      </c>
      <c r="E145" s="64">
        <f t="shared" si="5"/>
        <v>4850</v>
      </c>
    </row>
    <row r="146" spans="1:7" x14ac:dyDescent="0.3">
      <c r="A146" s="2">
        <v>11</v>
      </c>
      <c r="C146" s="27" t="s">
        <v>113</v>
      </c>
      <c r="D146" s="39">
        <f>SUM(D136:D145)</f>
        <v>69390</v>
      </c>
      <c r="E146" s="39">
        <f>SUM(E136:E145)</f>
        <v>229350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237</v>
      </c>
      <c r="E148" s="57" t="s">
        <v>155</v>
      </c>
      <c r="G148" s="55"/>
    </row>
    <row r="149" spans="1:7" x14ac:dyDescent="0.3">
      <c r="A149" s="2">
        <v>1</v>
      </c>
      <c r="C149" s="38" t="s">
        <v>48</v>
      </c>
      <c r="D149" s="40">
        <f>TRUNC(6085+276,-1)</f>
        <v>6360</v>
      </c>
      <c r="E149" s="62">
        <f>TRUNC(+D149*3.3058,-1)</f>
        <v>21020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TRUNC(8549,-1)</f>
        <v>8540</v>
      </c>
      <c r="E150" s="63">
        <f>TRUNC(+D150*3.3058,-1)</f>
        <v>28230</v>
      </c>
    </row>
    <row r="151" spans="1:7" x14ac:dyDescent="0.3">
      <c r="A151" s="2">
        <v>3</v>
      </c>
      <c r="C151" s="38" t="s">
        <v>50</v>
      </c>
      <c r="D151" s="42">
        <f>TRUNC(2531,-1)</f>
        <v>2530</v>
      </c>
      <c r="E151" s="63">
        <f>TRUNC(+D151*3.3058,-1)</f>
        <v>8360</v>
      </c>
    </row>
    <row r="152" spans="1:7" x14ac:dyDescent="0.3">
      <c r="A152" s="2">
        <v>4</v>
      </c>
      <c r="C152" s="38" t="s">
        <v>47</v>
      </c>
      <c r="D152" s="42">
        <f>TRUNC(288+31707+2208+1758,-1)</f>
        <v>35960</v>
      </c>
      <c r="E152" s="63">
        <f>TRUNC(+D152*3.3058,-1)</f>
        <v>118870</v>
      </c>
      <c r="F152" s="2" t="s">
        <v>262</v>
      </c>
    </row>
    <row r="153" spans="1:7" ht="17.25" thickBot="1" x14ac:dyDescent="0.35">
      <c r="A153" s="2">
        <v>5</v>
      </c>
      <c r="C153" s="38" t="s">
        <v>150</v>
      </c>
      <c r="D153" s="43">
        <f>TRUNC(19631,-1)</f>
        <v>19630</v>
      </c>
      <c r="E153" s="64">
        <f>TRUNC(+D153*3.3058,-1)</f>
        <v>64890</v>
      </c>
    </row>
    <row r="154" spans="1:7" x14ac:dyDescent="0.3">
      <c r="A154" s="2">
        <v>6</v>
      </c>
      <c r="C154" s="27" t="s">
        <v>113</v>
      </c>
      <c r="D154" s="39">
        <f>SUM(D149:D153)</f>
        <v>73020</v>
      </c>
      <c r="E154" s="39">
        <f>SUM(E149:E153)</f>
        <v>241370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237</v>
      </c>
      <c r="E156" s="57" t="s">
        <v>155</v>
      </c>
      <c r="G156" s="55"/>
    </row>
    <row r="157" spans="1:7" x14ac:dyDescent="0.3">
      <c r="A157" s="2">
        <v>1</v>
      </c>
      <c r="C157" s="38" t="s">
        <v>51</v>
      </c>
      <c r="D157" s="40">
        <f>TRUNC(20435,-1)</f>
        <v>20430</v>
      </c>
      <c r="E157" s="62">
        <f>TRUNC(+D157*3.3058,-1)</f>
        <v>67530</v>
      </c>
    </row>
    <row r="158" spans="1:7" x14ac:dyDescent="0.3">
      <c r="A158" s="2">
        <v>2</v>
      </c>
      <c r="C158" s="38" t="s">
        <v>52</v>
      </c>
      <c r="D158" s="42">
        <f>TRUNC(44707,-1)</f>
        <v>44700</v>
      </c>
      <c r="E158" s="63">
        <f>TRUNC(+D158*3.3058,-1)</f>
        <v>147760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TRUNC(6601,-1)</f>
        <v>6600</v>
      </c>
      <c r="E159" s="63">
        <f>TRUNC(+D159*3.3058,-1)</f>
        <v>21810</v>
      </c>
      <c r="F159" s="2" t="s">
        <v>263</v>
      </c>
    </row>
    <row r="160" spans="1:7" ht="17.25" thickBot="1" x14ac:dyDescent="0.35">
      <c r="A160" s="2">
        <v>4</v>
      </c>
      <c r="C160" s="38" t="s">
        <v>150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113</v>
      </c>
      <c r="D161" s="39">
        <f>SUM(D157:D160)</f>
        <v>71730</v>
      </c>
      <c r="E161" s="39">
        <f>SUM(E157:E160)</f>
        <v>237100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2020-12-08T01:40:53Z</dcterms:modified>
</cp:coreProperties>
</file>