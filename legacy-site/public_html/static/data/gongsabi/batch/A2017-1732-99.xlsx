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4" i="4"/>
  <c r="D143" i="4"/>
  <c r="D141" i="4"/>
  <c r="D137" i="4"/>
  <c r="D142" i="4"/>
  <c r="D140" i="4"/>
  <c r="D128" i="4"/>
  <c r="D132" i="4"/>
  <c r="D124" i="4"/>
  <c r="D125" i="4"/>
  <c r="D122" i="4"/>
  <c r="D130" i="4"/>
  <c r="D118" i="4"/>
  <c r="D105" i="4"/>
  <c r="D104" i="4"/>
  <c r="D102" i="4"/>
  <c r="D101" i="4"/>
  <c r="D100" i="4"/>
  <c r="D99" i="4"/>
  <c r="D114" i="4"/>
  <c r="D98" i="4"/>
  <c r="D116" i="4"/>
  <c r="D94" i="4"/>
  <c r="D92" i="4"/>
  <c r="D91" i="4"/>
  <c r="D90" i="4"/>
  <c r="D89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1" i="4"/>
  <c r="D40" i="4"/>
  <c r="D131" i="4"/>
  <c r="D117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95" i="4"/>
  <c r="E60" i="4"/>
  <c r="E119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<sst xmlns="http://schemas.openxmlformats.org/spreadsheetml/2006/main" count="395" uniqueCount="269">
  <si>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</si>
  <si>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</si>
  <si>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</si>
  <si>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</si>
  <si>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</si>
  <si>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</si>
  <si>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</si>
  <si>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</si>
  <si>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</si>
  <si>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</si>
  <si>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</si>
  <si>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</si>
  <si>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</si>
  <si>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</si>
  <si>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</si>
  <si>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</si>
  <si>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</si>
  <si>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</si>
  <si>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</si>
  <si>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</si>
  <si>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</si>
  <si>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</si>
  <si>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</si>
  <si>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</si>
  <si>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</si>
  <si>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</si>
  <si>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</si>
  <si>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</si>
  <si>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</si>
  <si>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</si>
  <si>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</si>
  <si>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</si>
  <si>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</si>
  <si>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</si>
  <si>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</si>
  <si>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</si>
  <si>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</si>
  <si>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</si>
  <si>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</si>
  <si>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</si>
  <si>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</si>
  <si>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</si>
  <si>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</si>
  <si>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</si>
  <si>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</si>
  <si>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</si>
  <si>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</si>
  <si>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</si>
  <si>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</si>
  <si>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</si>
  <si>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</si>
  <si>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</si>
  <si>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</si>
  <si>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</si>
  <si>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</si>
  <si>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</si>
  <si>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</si>
  <si>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</si>
  <si>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</si>
  <si>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</si>
  <si>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</si>
  <si>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</si>
  <si>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</si>
  <si>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</si>
  <si>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</si>
  <si>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</si>
  <si>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</si>
  <si>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</si>
  <si>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</si>
  <si>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</si>
  <si>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</si>
  <si>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</si>
  <si>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</si>
  <si>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</si>
  <si>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</si>
  <si>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</si>
  <si>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</si>
  <si>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</si>
  <si>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</si>
  <si>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</si>
  <si>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</si>
  <si>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</si>
  <si>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</si>
  <si>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</si>
  <si>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</si>
  <si>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</si>
  <si>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</si>
  <si>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</si>
  <si>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</si>
  <si>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</si>
  <si>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</si>
  <si>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</si>
  <si>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</si>
  <si>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</si>
  <si>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</si>
  <si>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</si>
  <si>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</si>
  <si>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</si>
  <si>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</si>
  <si>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</si>
  <si>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</si>
  <si>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</si>
  <si>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</si>
  <si>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</si>
  <si>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</si>
  <si>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</si>
  <si>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</si>
  <si>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</si>
  <si>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</si>
  <si>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</si>
  <si>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</si>
  <si>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</si>
  <si>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</si>
  <si>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</si>
  <si>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</si>
  <si>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</si>
  <si>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</si>
  <si>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</si>
  <si>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</si>
  <si>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</si>
  <si>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</si>
  <si>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</si>
  <si>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</si>
  <si>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</si>
  <si>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</si>
  <si>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</si>
  <si>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</si>
  <si>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</si>
  <si>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</si>
  <si>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</si>
  <si>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</si>
  <si>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</si>
  <si>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</si>
  <si>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</si>
  <si>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</si>
  <si>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</si>
  <si>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</si>
  <si>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</si>
  <si>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</si>
  <si>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</si>
  <si>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</si>
  <si>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</si>
  <si>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</si>
  <si>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</si>
  <si>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</si>
  <si>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</si>
  <si>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</si>
  <si>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</si>
  <si>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</si>
  <si>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</si>
  <si>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</si>
  <si>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</si>
  <si>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</si>
  <si>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</si>
  <si>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</si>
  <si>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</si>
  <si>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</si>
  <si>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</si>
  <si>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</si>
  <si>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</si>
  <si>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</si>
  <si>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</si>
  <si>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</si>
  <si>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</si>
  <si>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</si>
  <si>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</si>
  <si>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</si>
  <si>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</si>
  <si>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</si>
  <si>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</si>
  <si>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</si>
  <si>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</si>
  <si>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</si>
  <si>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</si>
  <si>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</si>
  <si>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</si>
  <si>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</si>
  <si>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</si>
  <si>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</si>
  <si>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</si>
  <si>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</si>
  <si>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</si>
  <si>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</si>
  <si>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</si>
  <si>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</si>
  <si>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</si>
  <si>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</si>
  <si>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</si>
  <si>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</si>
  <si>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</si>
  <si>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</si>
  <si>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</si>
  <si>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</si>
  <si>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</si>
  <si>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</si>
  <si>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</si>
  <si>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</si>
  <si>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</si>
  <si>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</si>
  <si>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</si>
  <si>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</si>
  <si>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</si>
  <si>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</si>
  <si>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</si>
  <si>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</si>
  <si>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</si>
  <si>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</si>
  <si>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</si>
  <si>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</si>
  <si>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</si>
  <si>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</si>
  <si>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</si>
  <si>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</si>
  <si>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</si>
  <si>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</si>
  <si>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</si>
  <si>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</si>
  <si>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</si>
  <si>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</si>
  <si>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</si>
  <si>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</si>
  <si>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</si>
  <si>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</si>
  <si>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</si>
  <si>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</si>
  <si>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</si>
  <si>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</si>
  <si>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</si>
  <si>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</si>
  <si>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</si>
  <si>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</si>
  <si>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</si>
  <si>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</si>
  <si>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</si>
  <si>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</si>
  <si>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</si>
  <si>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</si>
  <si>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</si>
  <si>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</si>
  <si>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</si>
  <si>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</si>
  <si>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</si>
  <si>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</si>
  <si>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</si>
  <si>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</si>
  <si>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</si>
  <si>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</si>
  <si>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</si>
  <si>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애기봉 평화생태공원 조성사업(토건)</t>
    <phoneticPr fontId="2" type="noConversion"/>
  </si>
  <si>
    <t>기타</t>
  </si>
  <si>
    <t>경기도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</si>
  <si>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</si>
  <si>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</si>
  <si>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</si>
  <si>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기초공사,해체및철거공사,골재비및운반비,작업부산물,품질시험비,기타공사</t>
    <phoneticPr fontId="2" type="noConversion"/>
  </si>
  <si>
    <t>우수처리시설공사,기타공사</t>
    <phoneticPr fontId="2" type="noConversion"/>
  </si>
  <si>
    <t xml:space="preserve">전기인입 및 수변전 설비공사,기타공사 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</si>
  <si>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</si>
  <si>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</si>
  <si>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펌프실배관공사</t>
    <phoneticPr fontId="2" type="noConversion"/>
  </si>
  <si>
    <t>우수공사,오수공사</t>
    <phoneticPr fontId="2" type="noConversion"/>
  </si>
  <si>
    <t>상수도공사,사급자재비,운반비,기타공사</t>
    <phoneticPr fontId="2" type="noConversion"/>
  </si>
  <si>
    <t>포장공사,기타공사</t>
    <phoneticPr fontId="2" type="noConversion"/>
  </si>
  <si>
    <t>조경시설물</t>
    <phoneticPr fontId="2" type="noConversion"/>
  </si>
  <si>
    <t>기타공사</t>
    <phoneticPr fontId="2" type="noConversion"/>
  </si>
  <si>
    <t>건축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</si>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</sst>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6927.21</v>
      </c>
      <c r="D7" s="36">
        <f>+C7/3.3058</f>
        <v>2095.4715953778209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1425650</v>
      </c>
      <c r="E25" s="59">
        <f t="shared" si="0"/>
        <v>4712910</v>
      </c>
    </row>
    <row r="26" spans="1:5" x14ac:dyDescent="0.3">
      <c r="B26" s="2">
        <v>3</v>
      </c>
      <c r="C26" s="35" t="s">
        <v>95</v>
      </c>
      <c r="D26" s="45">
        <f>+D66</f>
        <v>133640</v>
      </c>
      <c r="E26" s="59">
        <f t="shared" si="0"/>
        <v>441780</v>
      </c>
    </row>
    <row r="27" spans="1:5" x14ac:dyDescent="0.3">
      <c r="B27" s="2">
        <v>4</v>
      </c>
      <c r="C27" s="35" t="s">
        <v>96</v>
      </c>
      <c r="D27" s="45">
        <f>+D95</f>
        <v>93170</v>
      </c>
      <c r="E27" s="59">
        <f t="shared" si="0"/>
        <v>308000</v>
      </c>
    </row>
    <row r="28" spans="1:5" x14ac:dyDescent="0.3">
      <c r="B28" s="2">
        <v>5</v>
      </c>
      <c r="C28" s="35" t="s">
        <v>97</v>
      </c>
      <c r="D28" s="45">
        <f>+D119</f>
        <v>258710</v>
      </c>
      <c r="E28" s="59">
        <f t="shared" si="0"/>
        <v>855240</v>
      </c>
    </row>
    <row r="29" spans="1:5" x14ac:dyDescent="0.3">
      <c r="B29" s="2">
        <v>6</v>
      </c>
      <c r="C29" s="35" t="s">
        <v>98</v>
      </c>
      <c r="D29" s="45">
        <f>+D133</f>
        <v>112870</v>
      </c>
      <c r="E29" s="59">
        <f t="shared" si="0"/>
        <v>373120</v>
      </c>
    </row>
    <row r="30" spans="1:5" x14ac:dyDescent="0.3">
      <c r="B30" s="2">
        <v>7</v>
      </c>
      <c r="C30" s="35" t="s">
        <v>99</v>
      </c>
      <c r="D30" s="45">
        <f>+D146</f>
        <v>84010</v>
      </c>
      <c r="E30" s="59">
        <f t="shared" si="0"/>
        <v>277720</v>
      </c>
    </row>
    <row r="31" spans="1:5" x14ac:dyDescent="0.3">
      <c r="B31" s="2">
        <v>8</v>
      </c>
      <c r="C31" s="35" t="s">
        <v>100</v>
      </c>
      <c r="D31" s="45">
        <f>+D154</f>
        <v>62970</v>
      </c>
      <c r="E31" s="59">
        <f t="shared" si="0"/>
        <v>208160</v>
      </c>
    </row>
    <row r="32" spans="1:5" x14ac:dyDescent="0.3">
      <c r="B32" s="2">
        <v>9</v>
      </c>
      <c r="C32" s="35" t="s">
        <v>101</v>
      </c>
      <c r="D32" s="45">
        <f>+D161</f>
        <v>77220</v>
      </c>
      <c r="E32" s="59">
        <f t="shared" si="0"/>
        <v>255270</v>
      </c>
    </row>
    <row r="33" spans="1:7" x14ac:dyDescent="0.3">
      <c r="B33" s="2">
        <v>10</v>
      </c>
      <c r="C33" s="35" t="s">
        <v>154</v>
      </c>
      <c r="D33" s="53">
        <f>TRUNC(SUM(D24:D32)*0.275,-1)</f>
        <v>618260</v>
      </c>
      <c r="E33" s="60">
        <f t="shared" si="0"/>
        <v>2043840</v>
      </c>
    </row>
    <row r="34" spans="1:7" x14ac:dyDescent="0.3">
      <c r="C34" s="35" t="s">
        <v>112</v>
      </c>
      <c r="D34" s="44">
        <f>SUM(D24:D33)</f>
        <v>2866500</v>
      </c>
      <c r="E34" s="44">
        <f>SUM(E24:E33)</f>
        <v>9476040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265</v>
      </c>
      <c r="C39" s="56" t="s">
        <v>113</v>
      </c>
      <c r="D39" s="57" t="s">
        <v>235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TRUNC(64587,-1)</f>
        <v>64580</v>
      </c>
      <c r="E40" s="62">
        <f t="shared" ref="E40:E59" si="1">TRUNC(+D40*3.3058,-1)</f>
        <v>213480</v>
      </c>
    </row>
    <row r="41" spans="1:7" x14ac:dyDescent="0.3">
      <c r="A41" s="2">
        <v>2</v>
      </c>
      <c r="C41" s="38" t="s">
        <v>13</v>
      </c>
      <c r="D41" s="42">
        <f>TRUNC(289349,-1)</f>
        <v>289340</v>
      </c>
      <c r="E41" s="63">
        <f t="shared" si="1"/>
        <v>956500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TRUNC(10785,-1)</f>
        <v>10780</v>
      </c>
      <c r="E43" s="63">
        <f t="shared" si="1"/>
        <v>35630</v>
      </c>
    </row>
    <row r="44" spans="1:7" x14ac:dyDescent="0.3">
      <c r="A44" s="2">
        <v>5</v>
      </c>
      <c r="C44" s="38" t="s">
        <v>17</v>
      </c>
      <c r="D44" s="42">
        <f>TRUNC(71579,-1)</f>
        <v>71570</v>
      </c>
      <c r="E44" s="63">
        <f t="shared" si="1"/>
        <v>236590</v>
      </c>
    </row>
    <row r="45" spans="1:7" x14ac:dyDescent="0.3">
      <c r="A45" s="2">
        <v>6</v>
      </c>
      <c r="C45" s="38" t="s">
        <v>18</v>
      </c>
      <c r="D45" s="42">
        <f>TRUNC(13373,-1)</f>
        <v>13370</v>
      </c>
      <c r="E45" s="63">
        <f t="shared" si="1"/>
        <v>44190</v>
      </c>
    </row>
    <row r="46" spans="1:7" x14ac:dyDescent="0.3">
      <c r="A46" s="2">
        <v>7</v>
      </c>
      <c r="C46" s="38" t="s">
        <v>19</v>
      </c>
      <c r="D46" s="42">
        <f>TRUNC(61510,-1)</f>
        <v>61510</v>
      </c>
      <c r="E46" s="63">
        <f t="shared" si="1"/>
        <v>203330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TRUNC(71598,-1)</f>
        <v>71590</v>
      </c>
      <c r="E48" s="63">
        <f t="shared" si="1"/>
        <v>236660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TRUNC(15011,-1)</f>
        <v>15010</v>
      </c>
      <c r="E49" s="63">
        <f t="shared" si="1"/>
        <v>49620</v>
      </c>
    </row>
    <row r="50" spans="1:7" x14ac:dyDescent="0.3">
      <c r="A50" s="2">
        <v>11</v>
      </c>
      <c r="C50" s="38" t="s">
        <v>155</v>
      </c>
      <c r="D50" s="42">
        <f>TRUNC(56189,-1)</f>
        <v>56180</v>
      </c>
      <c r="E50" s="63">
        <f t="shared" si="1"/>
        <v>185710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TRUNC(16927,-1)</f>
        <v>16920</v>
      </c>
      <c r="E52" s="63">
        <f t="shared" si="1"/>
        <v>55930</v>
      </c>
    </row>
    <row r="53" spans="1:7" x14ac:dyDescent="0.3">
      <c r="A53" s="2">
        <v>14</v>
      </c>
      <c r="C53" s="38" t="s">
        <v>25</v>
      </c>
      <c r="D53" s="42">
        <f>TRUNC(111430,-1)</f>
        <v>111430</v>
      </c>
      <c r="E53" s="63">
        <f t="shared" si="1"/>
        <v>368360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TRUNC(1652+3754+12226-617+968+36379,-1)</f>
        <v>54360</v>
      </c>
      <c r="E58" s="63">
        <f t="shared" si="1"/>
        <v>179700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TRUNC(589016,-1)</f>
        <v>589010</v>
      </c>
      <c r="E59" s="64">
        <f t="shared" si="1"/>
        <v>1947140</v>
      </c>
    </row>
    <row r="60" spans="1:7" x14ac:dyDescent="0.3">
      <c r="A60" s="2">
        <v>21</v>
      </c>
      <c r="C60" s="27" t="s">
        <v>112</v>
      </c>
      <c r="D60" s="39">
        <f>SUM(D40:D59)</f>
        <v>1425650</v>
      </c>
      <c r="E60" s="39">
        <f>SUM(E40:E59)</f>
        <v>4712840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TRUNC(133642,-1)</f>
        <v>133640</v>
      </c>
      <c r="E63" s="62">
        <f>TRUNC(+D63*3.3058,-1)</f>
        <v>441780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133640</v>
      </c>
      <c r="E66" s="65">
        <f>SUM(E63:E65)</f>
        <v>441780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TRUNC(9323,-1)</f>
        <v>9320</v>
      </c>
      <c r="E69" s="62">
        <f t="shared" ref="E69:E94" si="2">TRUNC(+D69*3.3058,-1)</f>
        <v>30810</v>
      </c>
    </row>
    <row r="70" spans="1:7" ht="16.5" customHeight="1" x14ac:dyDescent="0.3">
      <c r="A70" s="2">
        <v>2</v>
      </c>
      <c r="C70" s="38" t="s">
        <v>31</v>
      </c>
      <c r="D70" s="42">
        <f>TRUNC(325,-1)</f>
        <v>320</v>
      </c>
      <c r="E70" s="63">
        <f t="shared" si="2"/>
        <v>1050</v>
      </c>
    </row>
    <row r="71" spans="1:7" x14ac:dyDescent="0.3">
      <c r="A71" s="2">
        <v>3</v>
      </c>
      <c r="C71" s="38" t="s">
        <v>32</v>
      </c>
      <c r="D71" s="42">
        <f>TRUNC(5276,-1)</f>
        <v>5270</v>
      </c>
      <c r="E71" s="63">
        <f t="shared" si="2"/>
        <v>17420</v>
      </c>
    </row>
    <row r="72" spans="1:7" x14ac:dyDescent="0.3">
      <c r="A72" s="2">
        <v>4</v>
      </c>
      <c r="C72" s="38" t="s">
        <v>33</v>
      </c>
      <c r="D72" s="42">
        <f>TRUNC(1276,-1)</f>
        <v>1270</v>
      </c>
      <c r="E72" s="63">
        <f t="shared" si="2"/>
        <v>4190</v>
      </c>
    </row>
    <row r="73" spans="1:7" x14ac:dyDescent="0.3">
      <c r="A73" s="2">
        <v>5</v>
      </c>
      <c r="C73" s="38" t="s">
        <v>34</v>
      </c>
      <c r="D73" s="42">
        <f>TRUNC(6297,-1)</f>
        <v>6290</v>
      </c>
      <c r="E73" s="63">
        <f t="shared" si="2"/>
        <v>20790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TRUNC(14099,-1)</f>
        <v>14090</v>
      </c>
      <c r="E89" s="63">
        <f t="shared" si="2"/>
        <v>46570</v>
      </c>
    </row>
    <row r="90" spans="1:7" x14ac:dyDescent="0.3">
      <c r="A90" s="2">
        <v>22</v>
      </c>
      <c r="C90" s="38" t="s">
        <v>36</v>
      </c>
      <c r="D90" s="42">
        <f>TRUNC(867,-1)</f>
        <v>860</v>
      </c>
      <c r="E90" s="63">
        <f t="shared" si="2"/>
        <v>2840</v>
      </c>
    </row>
    <row r="91" spans="1:7" x14ac:dyDescent="0.3">
      <c r="A91" s="2">
        <v>23</v>
      </c>
      <c r="C91" s="38" t="s">
        <v>37</v>
      </c>
      <c r="D91" s="42">
        <f>TRUNC(7152,-1)</f>
        <v>7150</v>
      </c>
      <c r="E91" s="63">
        <f t="shared" si="2"/>
        <v>23630</v>
      </c>
    </row>
    <row r="92" spans="1:7" x14ac:dyDescent="0.3">
      <c r="A92" s="2">
        <v>24</v>
      </c>
      <c r="C92" s="38" t="s">
        <v>38</v>
      </c>
      <c r="D92" s="42">
        <f>TRUNC(4557,-1)</f>
        <v>4550</v>
      </c>
      <c r="E92" s="63">
        <f t="shared" si="2"/>
        <v>15040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TRUNC(38192+5865,-1)</f>
        <v>44050</v>
      </c>
      <c r="E94" s="64">
        <f t="shared" si="2"/>
        <v>145620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93170</v>
      </c>
      <c r="E95" s="39">
        <f>SUM(E69:E94)</f>
        <v>307960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TRUNC(33273,-1)</f>
        <v>33270</v>
      </c>
      <c r="E98" s="62">
        <f t="shared" ref="E98:E118" si="3">TRUNC(+D98*3.3058,-1)</f>
        <v>109980</v>
      </c>
    </row>
    <row r="99" spans="1:7" x14ac:dyDescent="0.3">
      <c r="A99" s="2">
        <v>2</v>
      </c>
      <c r="C99" s="38" t="s">
        <v>40</v>
      </c>
      <c r="D99" s="42">
        <f>TRUNC(13360,-1)</f>
        <v>13360</v>
      </c>
      <c r="E99" s="63">
        <f t="shared" si="3"/>
        <v>44160</v>
      </c>
    </row>
    <row r="100" spans="1:7" x14ac:dyDescent="0.3">
      <c r="A100" s="2">
        <v>3</v>
      </c>
      <c r="C100" s="38" t="s">
        <v>41</v>
      </c>
      <c r="D100" s="42">
        <f>TRUNC(27896,-1)</f>
        <v>27890</v>
      </c>
      <c r="E100" s="63">
        <f t="shared" si="3"/>
        <v>92190</v>
      </c>
    </row>
    <row r="101" spans="1:7" x14ac:dyDescent="0.3">
      <c r="A101" s="2">
        <v>4</v>
      </c>
      <c r="C101" s="38" t="s">
        <v>42</v>
      </c>
      <c r="D101" s="42">
        <f>TRUNC(3334,-1)</f>
        <v>3330</v>
      </c>
      <c r="E101" s="63">
        <f t="shared" si="3"/>
        <v>11000</v>
      </c>
    </row>
    <row r="102" spans="1:7" x14ac:dyDescent="0.3">
      <c r="A102" s="2">
        <v>5</v>
      </c>
      <c r="C102" s="38" t="s">
        <v>43</v>
      </c>
      <c r="D102" s="42">
        <f>TRUNC(10816,-1)</f>
        <v>10810</v>
      </c>
      <c r="E102" s="63">
        <f t="shared" si="3"/>
        <v>35730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TRUNC(2540,-1)</f>
        <v>2540</v>
      </c>
      <c r="E104" s="63">
        <f t="shared" si="3"/>
        <v>8390</v>
      </c>
    </row>
    <row r="105" spans="1:7" x14ac:dyDescent="0.3">
      <c r="A105" s="2">
        <v>8</v>
      </c>
      <c r="C105" s="38" t="s">
        <v>46</v>
      </c>
      <c r="D105" s="42">
        <f>TRUNC(5291,-1)</f>
        <v>5290</v>
      </c>
      <c r="E105" s="63">
        <f t="shared" si="3"/>
        <v>17480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TRUNC(17625,-1)</f>
        <v>17620</v>
      </c>
      <c r="E114" s="63">
        <f t="shared" si="3"/>
        <v>58240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TRUNC(15551,-1)</f>
        <v>15550</v>
      </c>
      <c r="E116" s="63">
        <f t="shared" si="3"/>
        <v>51400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TRUNC(122832,-1)</f>
        <v>122830</v>
      </c>
      <c r="E117" s="63">
        <f t="shared" si="3"/>
        <v>406050</v>
      </c>
    </row>
    <row r="118" spans="1:7" ht="17.25" thickBot="1" x14ac:dyDescent="0.35">
      <c r="A118" s="2">
        <v>21</v>
      </c>
      <c r="C118" s="38" t="s">
        <v>47</v>
      </c>
      <c r="D118" s="43">
        <f>TRUNC(6220,-1)</f>
        <v>6220</v>
      </c>
      <c r="E118" s="64">
        <f t="shared" si="3"/>
        <v>20560</v>
      </c>
      <c r="F118" s="2" t="s">
        <v>264</v>
      </c>
    </row>
    <row r="119" spans="1:7" x14ac:dyDescent="0.3">
      <c r="A119" s="2">
        <v>22</v>
      </c>
      <c r="C119" s="27" t="s">
        <v>112</v>
      </c>
      <c r="D119" s="39">
        <f>SUM(D98:D118)</f>
        <v>258710</v>
      </c>
      <c r="E119" s="39">
        <f>SUM(E98:E118)</f>
        <v>855180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TRUNC(6222,-1)</f>
        <v>6220</v>
      </c>
      <c r="E122" s="62">
        <f t="shared" ref="E122:E132" si="4">TRUNC(+D122*3.3058,-1)</f>
        <v>20560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TRUNC(2501,-1)</f>
        <v>2500</v>
      </c>
      <c r="E124" s="63">
        <f t="shared" si="4"/>
        <v>8260</v>
      </c>
    </row>
    <row r="125" spans="1:7" x14ac:dyDescent="0.3">
      <c r="A125" s="2">
        <v>4</v>
      </c>
      <c r="C125" s="38" t="s">
        <v>138</v>
      </c>
      <c r="D125" s="42">
        <f>TRUNC(10343,-1)</f>
        <v>10340</v>
      </c>
      <c r="E125" s="63">
        <f t="shared" si="4"/>
        <v>34180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TRUNC(2590,-1)</f>
        <v>2590</v>
      </c>
      <c r="E128" s="63">
        <f t="shared" si="4"/>
        <v>8560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TRUNC(10433,-1)</f>
        <v>10430</v>
      </c>
      <c r="E130" s="63">
        <f t="shared" si="4"/>
        <v>34470</v>
      </c>
    </row>
    <row r="131" spans="1:7" x14ac:dyDescent="0.3">
      <c r="A131" s="2">
        <v>10</v>
      </c>
      <c r="C131" s="38" t="s">
        <v>148</v>
      </c>
      <c r="D131" s="42">
        <f>TRUNC(60882,-1)</f>
        <v>60880</v>
      </c>
      <c r="E131" s="63">
        <f t="shared" si="4"/>
        <v>201250</v>
      </c>
    </row>
    <row r="132" spans="1:7" ht="18" thickBot="1" x14ac:dyDescent="0.35">
      <c r="A132" s="2">
        <v>11</v>
      </c>
      <c r="C132" s="38" t="s">
        <v>47</v>
      </c>
      <c r="D132" s="43">
        <f>TRUNC(12019+7899,-1)</f>
        <v>19910</v>
      </c>
      <c r="E132" s="64">
        <f t="shared" si="4"/>
        <v>65810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112870</v>
      </c>
      <c r="E133" s="39">
        <f>SUM(E122:E132)</f>
        <v>373090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TRUNC(6612,-1)</f>
        <v>6610</v>
      </c>
      <c r="E137" s="63">
        <f t="shared" si="5"/>
        <v>21850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TRUNC(4598,-1)</f>
        <v>4590</v>
      </c>
      <c r="E140" s="63">
        <f t="shared" si="5"/>
        <v>15170</v>
      </c>
    </row>
    <row r="141" spans="1:7" x14ac:dyDescent="0.3">
      <c r="A141" s="2">
        <v>6</v>
      </c>
      <c r="C141" s="38" t="s">
        <v>59</v>
      </c>
      <c r="D141" s="42">
        <f>TRUNC(29267,-1)</f>
        <v>29260</v>
      </c>
      <c r="E141" s="63">
        <f t="shared" si="5"/>
        <v>96720</v>
      </c>
    </row>
    <row r="142" spans="1:7" x14ac:dyDescent="0.3">
      <c r="A142" s="2">
        <v>7</v>
      </c>
      <c r="C142" s="38" t="s">
        <v>58</v>
      </c>
      <c r="D142" s="42">
        <f>TRUNC(7495,-1)</f>
        <v>7490</v>
      </c>
      <c r="E142" s="63">
        <f t="shared" si="5"/>
        <v>24760</v>
      </c>
    </row>
    <row r="143" spans="1:7" x14ac:dyDescent="0.3">
      <c r="A143" s="2">
        <v>8</v>
      </c>
      <c r="C143" s="38" t="s">
        <v>62</v>
      </c>
      <c r="D143" s="42">
        <f>TRUNC(4211,-1)</f>
        <v>4210</v>
      </c>
      <c r="E143" s="63">
        <f t="shared" si="5"/>
        <v>13910</v>
      </c>
    </row>
    <row r="144" spans="1:7" x14ac:dyDescent="0.3">
      <c r="A144" s="2">
        <v>9</v>
      </c>
      <c r="C144" s="38" t="s">
        <v>63</v>
      </c>
      <c r="D144" s="42">
        <f>TRUNC(31857,-1)</f>
        <v>31850</v>
      </c>
      <c r="E144" s="63">
        <f t="shared" si="5"/>
        <v>105280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84010</v>
      </c>
      <c r="E146" s="39">
        <f>SUM(E136:E145)</f>
        <v>277690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TRUNC(10424+5253,-1)</f>
        <v>15670</v>
      </c>
      <c r="E149" s="62">
        <f>TRUNC(+D149*3.3058,-1)</f>
        <v>51800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TRUNC(6124,-1)</f>
        <v>6120</v>
      </c>
      <c r="E150" s="63">
        <f>TRUNC(+D150*3.3058,-1)</f>
        <v>20230</v>
      </c>
    </row>
    <row r="151" spans="1:7" x14ac:dyDescent="0.3">
      <c r="A151" s="2">
        <v>3</v>
      </c>
      <c r="C151" s="38" t="s">
        <v>50</v>
      </c>
      <c r="D151" s="42">
        <f>TRUNC(14394,-1)</f>
        <v>14390</v>
      </c>
      <c r="E151" s="63">
        <f>TRUNC(+D151*3.3058,-1)</f>
        <v>47570</v>
      </c>
    </row>
    <row r="152" spans="1:7" x14ac:dyDescent="0.3">
      <c r="A152" s="2">
        <v>4</v>
      </c>
      <c r="C152" s="38" t="s">
        <v>47</v>
      </c>
      <c r="D152" s="42">
        <f>TRUNC(1206+11525+2172+11893,-1)</f>
        <v>26790</v>
      </c>
      <c r="E152" s="63">
        <f>TRUNC(+D152*3.3058,-1)</f>
        <v>88560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62970</v>
      </c>
      <c r="E154" s="39">
        <f>SUM(E149:E153)</f>
        <v>208160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TRUNC(26381,-1)</f>
        <v>26380</v>
      </c>
      <c r="E157" s="62">
        <f>TRUNC(+D157*3.3058,-1)</f>
        <v>87200</v>
      </c>
    </row>
    <row r="158" spans="1:7" x14ac:dyDescent="0.3">
      <c r="A158" s="2">
        <v>2</v>
      </c>
      <c r="C158" s="38" t="s">
        <v>52</v>
      </c>
      <c r="D158" s="42">
        <f>TRUNC(19503,-1)</f>
        <v>19500</v>
      </c>
      <c r="E158" s="63">
        <f>TRUNC(+D158*3.3058,-1)</f>
        <v>64460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TRUNC(28285+3063,-1)</f>
        <v>31340</v>
      </c>
      <c r="E159" s="63">
        <f>TRUNC(+D159*3.3058,-1)</f>
        <v>103600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77220</v>
      </c>
      <c r="E161" s="39">
        <f>SUM(E157:E160)</f>
        <v>255260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2020-12-08T01:54:18Z</dcterms:modified>
</cp:coreProperties>
</file>