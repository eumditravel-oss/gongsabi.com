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0415" windowHeight="117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3" i="4" l="1"/>
  <c r="E151" i="4"/>
  <c r="E145" i="4"/>
  <c r="E144" i="4"/>
  <c r="E143" i="4"/>
  <c r="E142" i="4"/>
  <c r="E141" i="4"/>
  <c r="E140" i="4"/>
  <c r="E139" i="4"/>
  <c r="E138" i="4"/>
  <c r="E129" i="4"/>
  <c r="E126" i="4"/>
  <c r="E125" i="4"/>
  <c r="E123" i="4"/>
  <c r="E116" i="4"/>
  <c r="E113" i="4"/>
  <c r="E112" i="4"/>
  <c r="E111" i="4"/>
  <c r="E110" i="4"/>
  <c r="E109" i="4"/>
  <c r="E108" i="4"/>
  <c r="E107" i="4"/>
  <c r="E106" i="4"/>
  <c r="E103" i="4"/>
  <c r="E101" i="4"/>
  <c r="E91" i="4"/>
  <c r="E89" i="4"/>
  <c r="E88" i="4"/>
  <c r="E87" i="4"/>
  <c r="E86" i="4"/>
  <c r="E85" i="4"/>
  <c r="E83" i="4"/>
  <c r="E82" i="4"/>
  <c r="E80" i="4"/>
  <c r="E79" i="4"/>
  <c r="E77" i="4"/>
  <c r="E76" i="4"/>
  <c r="E74" i="4"/>
  <c r="E73" i="4"/>
  <c r="E65" i="4"/>
  <c r="E64" i="4"/>
  <c r="E57" i="4"/>
  <c r="E56" i="4"/>
  <c r="D59" i="4" l="1"/>
  <c r="E59" i="4" s="1"/>
  <c r="D100" i="4" l="1"/>
  <c r="E100" i="4" s="1"/>
  <c r="D118" i="4"/>
  <c r="E118" i="4" s="1"/>
  <c r="D137" i="4"/>
  <c r="E137" i="4" s="1"/>
  <c r="D136" i="4"/>
  <c r="E136" i="4" s="1"/>
  <c r="E146" i="4" s="1"/>
  <c r="D94" i="4"/>
  <c r="E94" i="4" s="1"/>
  <c r="D92" i="4"/>
  <c r="E92" i="4" s="1"/>
  <c r="D58" i="4" l="1"/>
  <c r="E58" i="4" s="1"/>
  <c r="D63" i="4"/>
  <c r="E63" i="4" s="1"/>
  <c r="E66" i="4" s="1"/>
  <c r="D45" i="4" l="1"/>
  <c r="E45" i="4" s="1"/>
  <c r="D41" i="4"/>
  <c r="E41" i="4" s="1"/>
  <c r="D42" i="4"/>
  <c r="E42" i="4" s="1"/>
  <c r="D50" i="4"/>
  <c r="E50" i="4" s="1"/>
  <c r="D55" i="4"/>
  <c r="E55" i="4" s="1"/>
  <c r="D43" i="4"/>
  <c r="E43" i="4" s="1"/>
  <c r="D54" i="4"/>
  <c r="E54" i="4" s="1"/>
  <c r="D51" i="4"/>
  <c r="E51" i="4" s="1"/>
  <c r="D53" i="4"/>
  <c r="E53" i="4" s="1"/>
  <c r="D46" i="4"/>
  <c r="E46" i="4" s="1"/>
  <c r="D44" i="4"/>
  <c r="E44" i="4" s="1"/>
  <c r="D49" i="4"/>
  <c r="E49" i="4" s="1"/>
  <c r="D47" i="4"/>
  <c r="E47" i="4" s="1"/>
  <c r="D52" i="4"/>
  <c r="E52" i="4" s="1"/>
  <c r="D48" i="4"/>
  <c r="E48" i="4" s="1"/>
  <c r="D37" i="4"/>
  <c r="E37" i="4" s="1"/>
  <c r="D40" i="4"/>
  <c r="E40" i="4" s="1"/>
  <c r="D159" i="4"/>
  <c r="E159" i="4" s="1"/>
  <c r="D158" i="4"/>
  <c r="E158" i="4" s="1"/>
  <c r="D157" i="4"/>
  <c r="E157" i="4" s="1"/>
  <c r="E161" i="4" s="1"/>
  <c r="D160" i="4"/>
  <c r="E160" i="4" s="1"/>
  <c r="D152" i="4"/>
  <c r="E152" i="4" s="1"/>
  <c r="D150" i="4"/>
  <c r="E150" i="4" s="1"/>
  <c r="D149" i="4"/>
  <c r="E149" i="4" s="1"/>
  <c r="E154" i="4" s="1"/>
  <c r="D93" i="4"/>
  <c r="E93" i="4" s="1"/>
  <c r="D81" i="4"/>
  <c r="E81" i="4" s="1"/>
  <c r="D90" i="4"/>
  <c r="E90" i="4" s="1"/>
  <c r="D75" i="4"/>
  <c r="E75" i="4" s="1"/>
  <c r="D84" i="4"/>
  <c r="E84" i="4" s="1"/>
  <c r="D72" i="4"/>
  <c r="E72" i="4" s="1"/>
  <c r="D78" i="4"/>
  <c r="E78" i="4" s="1"/>
  <c r="D71" i="4"/>
  <c r="E71" i="4" s="1"/>
  <c r="D70" i="4"/>
  <c r="E70" i="4" s="1"/>
  <c r="D69" i="4"/>
  <c r="E69" i="4" s="1"/>
  <c r="D117" i="4"/>
  <c r="E117" i="4" s="1"/>
  <c r="D105" i="4"/>
  <c r="E105" i="4" s="1"/>
  <c r="D104" i="4"/>
  <c r="E104" i="4" s="1"/>
  <c r="D102" i="4"/>
  <c r="E102" i="4" s="1"/>
  <c r="D99" i="4"/>
  <c r="E99" i="4" s="1"/>
  <c r="D98" i="4"/>
  <c r="E98" i="4" s="1"/>
  <c r="D114" i="4"/>
  <c r="E114" i="4" s="1"/>
  <c r="D115" i="4"/>
  <c r="E115" i="4" s="1"/>
  <c r="D132" i="4"/>
  <c r="E132" i="4" s="1"/>
  <c r="D127" i="4"/>
  <c r="E127" i="4" s="1"/>
  <c r="D131" i="4"/>
  <c r="E131" i="4" s="1"/>
  <c r="D124" i="4"/>
  <c r="E124" i="4" s="1"/>
  <c r="D128" i="4"/>
  <c r="E128" i="4" s="1"/>
  <c r="D122" i="4"/>
  <c r="E122" i="4" s="1"/>
  <c r="E133" i="4" s="1"/>
  <c r="D130" i="4"/>
  <c r="E130" i="4" s="1"/>
  <c r="E95" i="4" l="1"/>
  <c r="E119" i="4"/>
  <c r="E60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<sst xmlns="http://schemas.openxmlformats.org/spreadsheetml/2006/main" count="392" uniqueCount="326">
  <si>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</si>
  <si>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</si>
  <si>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</si>
  <si>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</si>
  <si>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</si>
  <si>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</si>
  <si>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</si>
  <si>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</si>
  <si>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</si>
  <si>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</si>
  <si>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</si>
  <si>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</si>
  <si>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</si>
  <si>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</si>
  <si>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</si>
  <si>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</si>
  <si>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</si>
  <si>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</si>
  <si>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</si>
  <si>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</si>
  <si>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</si>
  <si>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</si>
  <si>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</si>
  <si>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</si>
  <si>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</si>
  <si>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</si>
  <si>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</si>
  <si>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</si>
  <si>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</si>
  <si>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</si>
  <si>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</si>
  <si>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</si>
  <si>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</si>
  <si>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</si>
  <si>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</si>
  <si>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</si>
  <si>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</si>
  <si>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</si>
  <si>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</si>
  <si>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</si>
  <si>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</si>
  <si>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</si>
  <si>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</si>
  <si>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</si>
  <si>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</si>
  <si>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</si>
  <si>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</si>
  <si>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</si>
  <si>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</si>
  <si>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</si>
  <si>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</si>
  <si>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</si>
  <si>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</si>
  <si>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</si>
  <si>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</si>
  <si>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</si>
  <si>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</si>
  <si>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</si>
  <si>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업무</t>
  </si>
  <si>
    <t>연면적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</si>
  <si>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</si>
  <si>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</si>
  <si>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</si>
  <si>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</si>
  <si>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</si>
  <si>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</si>
  <si>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</si>
  <si>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</si>
  <si>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</si>
  <si>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</si>
  <si>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</si>
  <si>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</si>
  <si>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</si>
  <si>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</si>
  <si>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</si>
  <si>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</si>
  <si>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</si>
  <si>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</si>
  <si>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</si>
  <si>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</si>
  <si>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</si>
  <si>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</si>
  <si>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</si>
  <si>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</si>
  <si>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</si>
  <si>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</si>
  <si>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</si>
  <si>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</si>
  <si>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</si>
  <si>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</si>
  <si>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</si>
  <si>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</si>
  <si>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</si>
  <si>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</si>
  <si>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</si>
  <si>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</si>
  <si>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</si>
  <si>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</si>
  <si>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</si>
  <si>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</si>
  <si>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</si>
  <si>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</si>
  <si>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</si>
  <si>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</si>
  <si>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</si>
  <si>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</si>
  <si>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</si>
  <si>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</si>
  <si>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</si>
  <si>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</si>
  <si>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</si>
  <si>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</si>
  <si>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</si>
  <si>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</si>
  <si>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</si>
  <si>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</si>
  <si>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</si>
  <si>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</si>
  <si>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</si>
  <si>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</si>
  <si>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</si>
  <si>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</si>
  <si>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</si>
  <si>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</si>
  <si>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</si>
  <si>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</si>
  <si>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</si>
  <si>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</si>
  <si>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</si>
  <si>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</si>
  <si>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</si>
  <si>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</si>
  <si>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</si>
  <si>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</si>
  <si>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</si>
  <si>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</si>
  <si>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</si>
  <si>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</si>
  <si>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</si>
  <si>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</si>
  <si>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</si>
  <si>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</si>
  <si>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</si>
  <si>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</si>
  <si>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</si>
  <si>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</si>
  <si>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</si>
  <si>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</si>
  <si>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</si>
  <si>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</si>
  <si>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</si>
  <si>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</si>
  <si>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</si>
  <si>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</si>
  <si>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</si>
  <si>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</si>
  <si>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</si>
  <si>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</si>
  <si>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</si>
  <si>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</si>
  <si>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</si>
  <si>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</si>
  <si>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</si>
  <si>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</si>
  <si>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</si>
  <si>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</si>
  <si>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</si>
  <si>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</si>
  <si>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</si>
  <si>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</si>
  <si>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</si>
  <si>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</si>
  <si>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</si>
  <si>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</si>
  <si>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</si>
  <si>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</si>
  <si>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</si>
  <si>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</si>
  <si>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</si>
  <si>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</si>
  <si>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</si>
  <si>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</si>
  <si>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</si>
  <si>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</si>
  <si>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</si>
  <si>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</si>
  <si>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</si>
  <si>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</si>
  <si>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</si>
  <si>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</si>
  <si>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</si>
  <si>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</si>
  <si>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</si>
  <si>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</si>
  <si>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</si>
  <si>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</si>
  <si>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</si>
  <si>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</si>
  <si>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</si>
  <si>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</si>
  <si>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</si>
  <si>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</si>
  <si>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</si>
  <si>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</si>
  <si>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</si>
  <si>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</si>
  <si>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</si>
  <si>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</si>
  <si>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</si>
  <si>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</si>
  <si>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</si>
  <si>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</si>
  <si>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</si>
  <si>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</si>
  <si>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</si>
  <si>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</si>
  <si>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</si>
  <si>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</si>
  <si>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</si>
  <si>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</si>
  <si>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</si>
  <si>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</si>
  <si>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</si>
  <si>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</si>
  <si>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</si>
  <si>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</si>
  <si>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</si>
  <si>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</si>
  <si>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</si>
  <si>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</si>
  <si>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</si>
  <si>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</si>
  <si>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</si>
  <si>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</si>
  <si>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</si>
  <si>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</si>
  <si>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</si>
  <si>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</si>
  <si>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</si>
  <si>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</si>
  <si>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</si>
  <si>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</si>
  <si>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</si>
  <si>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</si>
  <si>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</si>
  <si>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</si>
  <si>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</si>
  <si>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</si>
  <si>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</si>
  <si>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</si>
  <si>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</si>
  <si>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</si>
  <si>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</si>
  <si>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</si>
  <si>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</si>
  <si>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</si>
  <si>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</si>
  <si>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</si>
  <si>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</si>
  <si>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</si>
  <si>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</si>
  <si>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</si>
  <si>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</si>
  <si>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</si>
  <si>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</si>
  <si>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</si>
  <si>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</si>
  <si>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</si>
  <si>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</si>
  <si>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</si>
  <si>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</si>
  <si>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</si>
  <si>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</si>
  <si>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</si>
  <si>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</si>
  <si>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</si>
  <si>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</si>
  <si>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</si>
  <si>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</si>
  <si>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</si>
  <si>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</si>
  <si>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</si>
  <si>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</si>
  <si>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</si>
  <si>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</si>
  <si>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</si>
  <si>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</si>
  <si>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</si>
  <si>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</si>
  <si>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</si>
  <si>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</si>
  <si>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</si>
  <si>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</si>
  <si>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</si>
  <si>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</si>
  <si>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</si>
  <si>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</si>
  <si>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</si>
  <si>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</si>
  <si>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</si>
  <si>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</si>
  <si>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</si>
  <si>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</si>
  <si>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</si>
  <si>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</si>
  <si>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</si>
  <si>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</si>
  <si>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</si>
  <si>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00우체국 건립공사</t>
  </si>
  <si>
    <t>전라도</t>
  </si>
  <si>
    <t>비상방송 설비공사,CCTV 설비공사,인터폰설비공사,가설창고</t>
    <phoneticPr fontId="2" type="noConversion"/>
  </si>
  <si>
    <t>우수공사,오수공사</t>
    <phoneticPr fontId="2" type="noConversion"/>
  </si>
  <si>
    <t>상수공사,교통안전시설물,철거공사,DEWATERING 공사,자재운반비</t>
    <phoneticPr fontId="2" type="noConversion"/>
  </si>
  <si>
    <t>포장공사,부대공사</t>
    <phoneticPr fontId="2" type="noConversion"/>
  </si>
  <si>
    <t>토및지정공사</t>
  </si>
  <si>
    <t>위생설비공사</t>
  </si>
  <si>
    <t>전기 소방</t>
    <phoneticPr fontId="2" type="noConversion"/>
  </si>
  <si>
    <t>주차관제설비공사,가설창고</t>
    <phoneticPr fontId="2" type="noConversion"/>
  </si>
  <si>
    <t>전등설비, 인테리어전등설비공사</t>
    <phoneticPr fontId="2" type="noConversion"/>
  </si>
  <si>
    <t>공조실배관공사,열선설치공사,전기온돌판넬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</si>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</sst>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323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58</v>
      </c>
    </row>
    <row r="6" spans="1:4" ht="17.25" thickBot="1" x14ac:dyDescent="0.35">
      <c r="A6" s="2">
        <v>3</v>
      </c>
      <c r="B6" s="2" t="s">
        <v>59</v>
      </c>
      <c r="C6" s="2" t="s">
        <v>38</v>
      </c>
      <c r="D6" s="35" t="s">
        <v>150</v>
      </c>
    </row>
    <row r="7" spans="1:4" ht="17.25" thickBot="1" x14ac:dyDescent="0.35">
      <c r="C7" s="38">
        <v>14490</v>
      </c>
      <c r="D7" s="36">
        <f>+C7/3.3058</f>
        <v>4383.2052755762597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309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324</v>
      </c>
    </row>
    <row r="19" spans="1:5" x14ac:dyDescent="0.3">
      <c r="A19" s="2">
        <v>9</v>
      </c>
      <c r="B19" s="2" t="s">
        <v>325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320</v>
      </c>
    </row>
    <row r="24" spans="1:5" x14ac:dyDescent="0.3">
      <c r="B24" s="2">
        <v>1</v>
      </c>
      <c r="C24" s="35" t="s">
        <v>44</v>
      </c>
      <c r="D24" s="43">
        <f>+D37</f>
        <v>5260</v>
      </c>
      <c r="E24" s="59">
        <f t="shared" ref="E24:E33" si="0">TRUNC(+D24*3.3058,-1)</f>
        <v>17380</v>
      </c>
    </row>
    <row r="25" spans="1:5" x14ac:dyDescent="0.3">
      <c r="B25" s="2">
        <v>2</v>
      </c>
      <c r="C25" s="35" t="s">
        <v>45</v>
      </c>
      <c r="D25" s="47">
        <f>+D60</f>
        <v>562490</v>
      </c>
      <c r="E25" s="60">
        <f t="shared" si="0"/>
        <v>1859470</v>
      </c>
    </row>
    <row r="26" spans="1:5" x14ac:dyDescent="0.3">
      <c r="B26" s="2">
        <v>3</v>
      </c>
      <c r="C26" s="35" t="s">
        <v>29</v>
      </c>
      <c r="D26" s="47">
        <f>+D66</f>
        <v>21130</v>
      </c>
      <c r="E26" s="60">
        <f t="shared" si="0"/>
        <v>69850</v>
      </c>
    </row>
    <row r="27" spans="1:5" x14ac:dyDescent="0.3">
      <c r="B27" s="2">
        <v>4</v>
      </c>
      <c r="C27" s="35" t="s">
        <v>30</v>
      </c>
      <c r="D27" s="47">
        <f>+D95</f>
        <v>247240</v>
      </c>
      <c r="E27" s="60">
        <f t="shared" si="0"/>
        <v>817320</v>
      </c>
    </row>
    <row r="28" spans="1:5" x14ac:dyDescent="0.3">
      <c r="B28" s="2">
        <v>5</v>
      </c>
      <c r="C28" s="35" t="s">
        <v>31</v>
      </c>
      <c r="D28" s="47">
        <f>+D119</f>
        <v>132120</v>
      </c>
      <c r="E28" s="60">
        <f t="shared" si="0"/>
        <v>436760</v>
      </c>
    </row>
    <row r="29" spans="1:5" x14ac:dyDescent="0.3">
      <c r="B29" s="2">
        <v>6</v>
      </c>
      <c r="C29" s="35" t="s">
        <v>32</v>
      </c>
      <c r="D29" s="47">
        <f>+D133</f>
        <v>68810</v>
      </c>
      <c r="E29" s="60">
        <f t="shared" si="0"/>
        <v>227470</v>
      </c>
    </row>
    <row r="30" spans="1:5" x14ac:dyDescent="0.3">
      <c r="B30" s="2">
        <v>7</v>
      </c>
      <c r="C30" s="35" t="s">
        <v>33</v>
      </c>
      <c r="D30" s="47">
        <f>+D146</f>
        <v>21310</v>
      </c>
      <c r="E30" s="60">
        <f t="shared" si="0"/>
        <v>70440</v>
      </c>
    </row>
    <row r="31" spans="1:5" x14ac:dyDescent="0.3">
      <c r="B31" s="2">
        <v>8</v>
      </c>
      <c r="C31" s="35" t="s">
        <v>34</v>
      </c>
      <c r="D31" s="47">
        <f>+D154</f>
        <v>13910</v>
      </c>
      <c r="E31" s="60">
        <f t="shared" si="0"/>
        <v>45980</v>
      </c>
    </row>
    <row r="32" spans="1:5" x14ac:dyDescent="0.3">
      <c r="B32" s="2">
        <v>9</v>
      </c>
      <c r="C32" s="35" t="s">
        <v>35</v>
      </c>
      <c r="D32" s="47">
        <f>+D161</f>
        <v>134490</v>
      </c>
      <c r="E32" s="60">
        <f t="shared" si="0"/>
        <v>444590</v>
      </c>
    </row>
    <row r="33" spans="1:5" x14ac:dyDescent="0.3">
      <c r="B33" s="2">
        <v>10</v>
      </c>
      <c r="C33" s="35" t="s">
        <v>60</v>
      </c>
      <c r="D33" s="55">
        <f>TRUNC(SUM(D24:D32)*0.275,-1)</f>
        <v>331850</v>
      </c>
      <c r="E33" s="61">
        <f t="shared" si="0"/>
        <v>1097020</v>
      </c>
    </row>
    <row r="34" spans="1:5" x14ac:dyDescent="0.3">
      <c r="C34" s="35" t="s">
        <v>46</v>
      </c>
      <c r="D34" s="46">
        <f>SUM(D24:D33)</f>
        <v>1538610</v>
      </c>
      <c r="E34" s="46">
        <f>SUM(E24:E33)</f>
        <v>5086280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320</v>
      </c>
    </row>
    <row r="37" spans="1:5" ht="17.25" thickBot="1" x14ac:dyDescent="0.35">
      <c r="C37" s="39" t="s">
        <v>51</v>
      </c>
      <c r="D37" s="56">
        <f>TRUNC(5264.6850931677,-1)</f>
        <v>5260</v>
      </c>
      <c r="E37" s="62">
        <f>TRUNC(+D37*3.3058,-1)</f>
        <v>17380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321</v>
      </c>
      <c r="E39" s="68" t="s">
        <v>322</v>
      </c>
    </row>
    <row r="40" spans="1:5" x14ac:dyDescent="0.3">
      <c r="A40" s="2">
        <v>1</v>
      </c>
      <c r="C40" s="39" t="s">
        <v>75</v>
      </c>
      <c r="D40" s="42">
        <f>TRUNC(22929.4688750863,-1)</f>
        <v>22920</v>
      </c>
      <c r="E40" s="63">
        <f t="shared" ref="E40:E59" si="1">TRUNC(+D40*3.3058,-1)</f>
        <v>75760</v>
      </c>
    </row>
    <row r="41" spans="1:5" x14ac:dyDescent="0.3">
      <c r="A41" s="2">
        <v>2</v>
      </c>
      <c r="C41" s="39" t="s">
        <v>6</v>
      </c>
      <c r="D41" s="44">
        <f>TRUNC(94776.3747412008,-1)</f>
        <v>94770</v>
      </c>
      <c r="E41" s="64">
        <f t="shared" si="1"/>
        <v>313290</v>
      </c>
    </row>
    <row r="42" spans="1:5" x14ac:dyDescent="0.3">
      <c r="A42" s="2">
        <v>3</v>
      </c>
      <c r="C42" s="39" t="s">
        <v>7</v>
      </c>
      <c r="D42" s="44">
        <f>TRUNC(23820.2463077985,-1)</f>
        <v>23820</v>
      </c>
      <c r="E42" s="64">
        <f t="shared" si="1"/>
        <v>78740</v>
      </c>
    </row>
    <row r="43" spans="1:5" x14ac:dyDescent="0.3">
      <c r="A43" s="2">
        <v>4</v>
      </c>
      <c r="C43" s="39" t="s">
        <v>8</v>
      </c>
      <c r="D43" s="44">
        <f>TRUNC(12525.499378882,-1)</f>
        <v>12520</v>
      </c>
      <c r="E43" s="64">
        <f t="shared" si="1"/>
        <v>41380</v>
      </c>
    </row>
    <row r="44" spans="1:5" x14ac:dyDescent="0.3">
      <c r="A44" s="2">
        <v>5</v>
      </c>
      <c r="C44" s="39" t="s">
        <v>9</v>
      </c>
      <c r="D44" s="44">
        <f>TRUNC(21296.356452726,-1)</f>
        <v>21290</v>
      </c>
      <c r="E44" s="64">
        <f t="shared" si="1"/>
        <v>70380</v>
      </c>
    </row>
    <row r="45" spans="1:5" x14ac:dyDescent="0.3">
      <c r="A45" s="2">
        <v>6</v>
      </c>
      <c r="C45" s="39" t="s">
        <v>10</v>
      </c>
      <c r="D45" s="44">
        <f>TRUNC(3512.92919254658,-1)</f>
        <v>3510</v>
      </c>
      <c r="E45" s="64">
        <f t="shared" si="1"/>
        <v>11600</v>
      </c>
    </row>
    <row r="46" spans="1:5" x14ac:dyDescent="0.3">
      <c r="A46" s="2">
        <v>7</v>
      </c>
      <c r="C46" s="39" t="s">
        <v>11</v>
      </c>
      <c r="D46" s="44">
        <f>TRUNC(16525.4856452726,-1)</f>
        <v>16520</v>
      </c>
      <c r="E46" s="64">
        <f t="shared" si="1"/>
        <v>54610</v>
      </c>
    </row>
    <row r="47" spans="1:5" x14ac:dyDescent="0.3">
      <c r="A47" s="2">
        <v>8</v>
      </c>
      <c r="C47" s="39" t="s">
        <v>12</v>
      </c>
      <c r="D47" s="44">
        <f>TRUNC(94.6630779848171,-1)</f>
        <v>90</v>
      </c>
      <c r="E47" s="64">
        <f t="shared" si="1"/>
        <v>290</v>
      </c>
    </row>
    <row r="48" spans="1:5" x14ac:dyDescent="0.3">
      <c r="A48" s="2">
        <v>9</v>
      </c>
      <c r="C48" s="39" t="s">
        <v>13</v>
      </c>
      <c r="D48" s="44">
        <f>TRUNC(61620.9516218081,-1)</f>
        <v>61620</v>
      </c>
      <c r="E48" s="64">
        <f t="shared" si="1"/>
        <v>203700</v>
      </c>
    </row>
    <row r="49" spans="1:6" x14ac:dyDescent="0.3">
      <c r="A49" s="2">
        <v>10</v>
      </c>
      <c r="C49" s="39" t="s">
        <v>14</v>
      </c>
      <c r="D49" s="44">
        <f>TRUNC(11834.967494824,-1)</f>
        <v>11830</v>
      </c>
      <c r="E49" s="64">
        <f t="shared" si="1"/>
        <v>39100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TRUNC(75580.4191856453,-1)</f>
        <v>75580</v>
      </c>
      <c r="E50" s="64">
        <f t="shared" si="1"/>
        <v>249850</v>
      </c>
      <c r="F50" s="2"/>
    </row>
    <row r="51" spans="1:6" x14ac:dyDescent="0.3">
      <c r="A51" s="2">
        <v>12</v>
      </c>
      <c r="C51" s="39" t="s">
        <v>16</v>
      </c>
      <c r="D51" s="44">
        <f>TRUNC(20780.0773636991,-1)</f>
        <v>20780</v>
      </c>
      <c r="E51" s="64">
        <f t="shared" si="1"/>
        <v>68690</v>
      </c>
    </row>
    <row r="52" spans="1:6" x14ac:dyDescent="0.3">
      <c r="A52" s="2">
        <v>13</v>
      </c>
      <c r="C52" s="39" t="s">
        <v>17</v>
      </c>
      <c r="D52" s="44">
        <f>TRUNC(3064.16142167012,-1)</f>
        <v>3060</v>
      </c>
      <c r="E52" s="64">
        <f t="shared" si="1"/>
        <v>10110</v>
      </c>
    </row>
    <row r="53" spans="1:6" x14ac:dyDescent="0.3">
      <c r="A53" s="2">
        <v>14</v>
      </c>
      <c r="C53" s="39" t="s">
        <v>18</v>
      </c>
      <c r="D53" s="44">
        <f>TRUNC(39269.3925465838,-1)</f>
        <v>39260</v>
      </c>
      <c r="E53" s="64">
        <f t="shared" si="1"/>
        <v>129780</v>
      </c>
    </row>
    <row r="54" spans="1:6" x14ac:dyDescent="0.3">
      <c r="A54" s="2">
        <v>15</v>
      </c>
      <c r="C54" s="39" t="s">
        <v>55</v>
      </c>
      <c r="D54" s="44">
        <f>TRUNC(44043.9121463078,-1)</f>
        <v>44040</v>
      </c>
      <c r="E54" s="64">
        <f t="shared" si="1"/>
        <v>145580</v>
      </c>
    </row>
    <row r="55" spans="1:6" x14ac:dyDescent="0.3">
      <c r="A55" s="2">
        <v>16</v>
      </c>
      <c r="C55" s="39" t="s">
        <v>52</v>
      </c>
      <c r="D55" s="44">
        <f>TRUNC(1620.62712215321,-1)</f>
        <v>1620</v>
      </c>
      <c r="E55" s="64">
        <f t="shared" si="1"/>
        <v>5350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TRUNC(3716.97577639752,-1)</f>
        <v>3710</v>
      </c>
      <c r="E58" s="64">
        <f t="shared" si="1"/>
        <v>12260</v>
      </c>
      <c r="F58" s="2" t="s">
        <v>314</v>
      </c>
    </row>
    <row r="59" spans="1:6" ht="17.25" thickBot="1" x14ac:dyDescent="0.35">
      <c r="A59" s="2">
        <v>20</v>
      </c>
      <c r="C59" s="39" t="s">
        <v>56</v>
      </c>
      <c r="D59" s="45">
        <f>TRUNC(105555.486542443,-1)</f>
        <v>105550</v>
      </c>
      <c r="E59" s="65">
        <f t="shared" si="1"/>
        <v>348920</v>
      </c>
    </row>
    <row r="60" spans="1:6" x14ac:dyDescent="0.3">
      <c r="A60" s="2">
        <v>21</v>
      </c>
      <c r="C60" s="27" t="s">
        <v>46</v>
      </c>
      <c r="D60" s="40">
        <f>SUM(D40:D59)</f>
        <v>562490</v>
      </c>
      <c r="E60" s="40">
        <f>SUM(E40:E59)</f>
        <v>1859390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320</v>
      </c>
    </row>
    <row r="63" spans="1:6" x14ac:dyDescent="0.3">
      <c r="A63" s="2">
        <v>1</v>
      </c>
      <c r="C63" s="39" t="s">
        <v>20</v>
      </c>
      <c r="D63" s="42">
        <f>TRUNC(21139.1634920635,-1)</f>
        <v>21130</v>
      </c>
      <c r="E63" s="63">
        <f>TRUNC(+D63*3.3058,-1)</f>
        <v>69850</v>
      </c>
      <c r="F63" s="2" t="s">
        <v>20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21130</v>
      </c>
      <c r="E66" s="66">
        <f>SUM(E63:E65)</f>
        <v>69850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320</v>
      </c>
    </row>
    <row r="69" spans="1:5" x14ac:dyDescent="0.3">
      <c r="A69" s="2">
        <v>1</v>
      </c>
      <c r="C69" s="39" t="s">
        <v>78</v>
      </c>
      <c r="D69" s="42">
        <f>TRUNC(18491.824568668,-1)</f>
        <v>18490</v>
      </c>
      <c r="E69" s="63">
        <f t="shared" ref="E69:E94" si="2">TRUNC(+D69*3.3058,-1)</f>
        <v>61120</v>
      </c>
    </row>
    <row r="70" spans="1:5" ht="16.5" customHeight="1" x14ac:dyDescent="0.3">
      <c r="A70" s="2">
        <v>2</v>
      </c>
      <c r="C70" s="39" t="s">
        <v>79</v>
      </c>
      <c r="D70" s="44">
        <f>TRUNC(1587.12546583851,-1)</f>
        <v>1580</v>
      </c>
      <c r="E70" s="64">
        <f t="shared" si="2"/>
        <v>5220</v>
      </c>
    </row>
    <row r="71" spans="1:5" x14ac:dyDescent="0.3">
      <c r="A71" s="2">
        <v>3</v>
      </c>
      <c r="C71" s="39" t="s">
        <v>80</v>
      </c>
      <c r="D71" s="44">
        <f>TRUNC(27889.8654244306,-1)</f>
        <v>27880</v>
      </c>
      <c r="E71" s="64">
        <f t="shared" si="2"/>
        <v>92160</v>
      </c>
    </row>
    <row r="72" spans="1:5" x14ac:dyDescent="0.3">
      <c r="A72" s="2">
        <v>4</v>
      </c>
      <c r="C72" s="39" t="s">
        <v>81</v>
      </c>
      <c r="D72" s="44">
        <f>TRUNC(3671.78433402346,-1)</f>
        <v>3670</v>
      </c>
      <c r="E72" s="64">
        <f t="shared" si="2"/>
        <v>12130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f>TRUNC(994.893029675638,-1)</f>
        <v>990</v>
      </c>
      <c r="E75" s="64">
        <f t="shared" si="2"/>
        <v>3270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f>TRUNC(36956.2603174603,-1)</f>
        <v>36950</v>
      </c>
      <c r="E78" s="64">
        <f t="shared" si="2"/>
        <v>122140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f>TRUNC(11576.2919254658,-1)</f>
        <v>11570</v>
      </c>
      <c r="E81" s="64">
        <f t="shared" si="2"/>
        <v>38240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TRUNC(13780.6081435473,-1)</f>
        <v>13780</v>
      </c>
      <c r="E84" s="64">
        <f t="shared" si="2"/>
        <v>45550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TRUNC(1386.14078674948,-1)</f>
        <v>1380</v>
      </c>
      <c r="E90" s="64">
        <f t="shared" si="2"/>
        <v>4560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TRUNC(26343.4507246377,-1)</f>
        <v>26340</v>
      </c>
      <c r="E92" s="64">
        <f t="shared" si="2"/>
        <v>87070</v>
      </c>
      <c r="F92" s="2" t="s">
        <v>315</v>
      </c>
    </row>
    <row r="93" spans="1:6" x14ac:dyDescent="0.3">
      <c r="A93" s="2">
        <v>25</v>
      </c>
      <c r="C93" s="39" t="s">
        <v>102</v>
      </c>
      <c r="D93" s="44">
        <f>TRUNC(66773.3609385783,-1)</f>
        <v>66770</v>
      </c>
      <c r="E93" s="64">
        <f t="shared" si="2"/>
        <v>220720</v>
      </c>
    </row>
    <row r="94" spans="1:6" ht="17.25" thickBot="1" x14ac:dyDescent="0.35">
      <c r="A94" s="2">
        <v>26</v>
      </c>
      <c r="C94" s="39" t="s">
        <v>103</v>
      </c>
      <c r="D94" s="45">
        <f>TRUNC(36356.6443064182+1065.30814354727+421.000690131125,-1)</f>
        <v>37840</v>
      </c>
      <c r="E94" s="65">
        <f t="shared" si="2"/>
        <v>125090</v>
      </c>
      <c r="F94" s="2" t="s">
        <v>319</v>
      </c>
    </row>
    <row r="95" spans="1:6" x14ac:dyDescent="0.3">
      <c r="A95" s="2">
        <v>27</v>
      </c>
      <c r="C95" s="27" t="s">
        <v>104</v>
      </c>
      <c r="D95" s="40">
        <f>SUM(D69:D94)</f>
        <v>247240</v>
      </c>
      <c r="E95" s="40">
        <f>SUM(E69:E94)</f>
        <v>817270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320</v>
      </c>
    </row>
    <row r="98" spans="1:6" x14ac:dyDescent="0.3">
      <c r="A98" s="2">
        <v>1</v>
      </c>
      <c r="C98" s="29" t="s">
        <v>106</v>
      </c>
      <c r="D98" s="42">
        <f>TRUNC(13398.4379572119,-1)</f>
        <v>13390</v>
      </c>
      <c r="E98" s="63">
        <f t="shared" ref="E98:E118" si="3">TRUNC(+D98*3.3058,-1)</f>
        <v>44260</v>
      </c>
    </row>
    <row r="99" spans="1:6" x14ac:dyDescent="0.3">
      <c r="A99" s="2">
        <v>2</v>
      </c>
      <c r="C99" s="29" t="s">
        <v>107</v>
      </c>
      <c r="D99" s="44">
        <f>TRUNC(6362.16825396825,-1)</f>
        <v>6360</v>
      </c>
      <c r="E99" s="64">
        <f t="shared" si="3"/>
        <v>21020</v>
      </c>
    </row>
    <row r="100" spans="1:6" x14ac:dyDescent="0.3">
      <c r="A100" s="2">
        <v>3</v>
      </c>
      <c r="C100" s="29" t="s">
        <v>108</v>
      </c>
      <c r="D100" s="44">
        <f>TRUNC(13127.9592132505+3266.66611456177,-1)</f>
        <v>16390</v>
      </c>
      <c r="E100" s="64">
        <f t="shared" si="3"/>
        <v>54180</v>
      </c>
      <c r="F100" s="2" t="s">
        <v>318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TRUNC(6893.87163561077,-1)</f>
        <v>6890</v>
      </c>
      <c r="E102" s="64">
        <f t="shared" si="3"/>
        <v>22770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TRUNC(1827.5182194617,-1)</f>
        <v>1820</v>
      </c>
      <c r="E104" s="64">
        <f t="shared" si="3"/>
        <v>6010</v>
      </c>
    </row>
    <row r="105" spans="1:6" x14ac:dyDescent="0.3">
      <c r="A105" s="2">
        <v>8</v>
      </c>
      <c r="C105" s="29" t="s">
        <v>113</v>
      </c>
      <c r="D105" s="44">
        <f>TRUNC(2083.93636991028,-1)</f>
        <v>2080</v>
      </c>
      <c r="E105" s="64">
        <f t="shared" si="3"/>
        <v>6870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TRUNC(799.785300207039,-1)</f>
        <v>790</v>
      </c>
      <c r="E114" s="64">
        <f t="shared" si="3"/>
        <v>2610</v>
      </c>
    </row>
    <row r="115" spans="1:6" x14ac:dyDescent="0.3">
      <c r="A115" s="2">
        <v>18</v>
      </c>
      <c r="C115" s="29" t="s">
        <v>123</v>
      </c>
      <c r="D115" s="44">
        <f>TRUNC(2152.56783988958,-1)</f>
        <v>2150</v>
      </c>
      <c r="E115" s="64">
        <f t="shared" si="3"/>
        <v>7100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TRUNC(15407.3636991028+66698.5507246377,-1)</f>
        <v>82100</v>
      </c>
      <c r="E117" s="64">
        <f t="shared" si="3"/>
        <v>271400</v>
      </c>
    </row>
    <row r="118" spans="1:6" ht="17.25" thickBot="1" x14ac:dyDescent="0.35">
      <c r="A118" s="2">
        <v>21</v>
      </c>
      <c r="C118" s="29" t="s">
        <v>103</v>
      </c>
      <c r="D118" s="45">
        <f>TRUNC(113.515734989648+45.5171842650103,-1)</f>
        <v>150</v>
      </c>
      <c r="E118" s="65">
        <f t="shared" si="3"/>
        <v>490</v>
      </c>
      <c r="F118" s="2" t="s">
        <v>317</v>
      </c>
    </row>
    <row r="119" spans="1:6" x14ac:dyDescent="0.3">
      <c r="A119" s="2">
        <v>22</v>
      </c>
      <c r="C119" s="27" t="s">
        <v>104</v>
      </c>
      <c r="D119" s="40">
        <f>SUM(D98:D118)</f>
        <v>132120</v>
      </c>
      <c r="E119" s="40">
        <f>SUM(E98:E118)</f>
        <v>436710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320</v>
      </c>
    </row>
    <row r="122" spans="1:6" x14ac:dyDescent="0.3">
      <c r="A122" s="2">
        <v>1</v>
      </c>
      <c r="C122" s="29" t="s">
        <v>126</v>
      </c>
      <c r="D122" s="42">
        <f>TRUNC(3486.97356797792,-1)</f>
        <v>3480</v>
      </c>
      <c r="E122" s="63">
        <f t="shared" ref="E122:E132" si="4">TRUNC(+D122*3.3058,-1)</f>
        <v>11500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TRUNC(707.981228433402,-1)</f>
        <v>700</v>
      </c>
      <c r="E124" s="64">
        <f t="shared" si="4"/>
        <v>2310</v>
      </c>
    </row>
    <row r="125" spans="1:6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f>TRUNC(3694.92008281573,-1)</f>
        <v>3690</v>
      </c>
      <c r="E127" s="64">
        <f t="shared" si="4"/>
        <v>12190</v>
      </c>
    </row>
    <row r="128" spans="1:6" x14ac:dyDescent="0.3">
      <c r="A128" s="2">
        <v>7</v>
      </c>
      <c r="C128" s="29" t="s">
        <v>113</v>
      </c>
      <c r="D128" s="44">
        <f>TRUNC(1311.34920634921,-1)</f>
        <v>1310</v>
      </c>
      <c r="E128" s="64">
        <f t="shared" si="4"/>
        <v>4330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TRUNC(19087.2415458937,-1)</f>
        <v>19080</v>
      </c>
      <c r="E130" s="64">
        <f t="shared" si="4"/>
        <v>63070</v>
      </c>
    </row>
    <row r="131" spans="1:6" x14ac:dyDescent="0.3">
      <c r="A131" s="2">
        <v>10</v>
      </c>
      <c r="C131" s="29" t="s">
        <v>102</v>
      </c>
      <c r="D131" s="44">
        <f>TRUNC(31172.4637681159,-1)</f>
        <v>31170</v>
      </c>
      <c r="E131" s="64">
        <f t="shared" si="4"/>
        <v>103040</v>
      </c>
    </row>
    <row r="132" spans="1:6" ht="17.25" thickBot="1" x14ac:dyDescent="0.35">
      <c r="A132" s="2">
        <v>11</v>
      </c>
      <c r="C132" s="29" t="s">
        <v>103</v>
      </c>
      <c r="D132" s="45">
        <f>TRUNC(3499.65783298827+5774.2126984127+62.4608005521049+45.5171842650103,-1)</f>
        <v>9380</v>
      </c>
      <c r="E132" s="65">
        <f t="shared" si="4"/>
        <v>31000</v>
      </c>
      <c r="F132" s="2" t="s">
        <v>310</v>
      </c>
    </row>
    <row r="133" spans="1:6" x14ac:dyDescent="0.3">
      <c r="A133" s="2">
        <v>12</v>
      </c>
      <c r="C133" s="41" t="s">
        <v>104</v>
      </c>
      <c r="D133" s="40">
        <f>SUM(D122:D132)</f>
        <v>68810</v>
      </c>
      <c r="E133" s="40">
        <f>SUM(E122:E132)</f>
        <v>227440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320</v>
      </c>
    </row>
    <row r="136" spans="1:6" x14ac:dyDescent="0.3">
      <c r="A136" s="2">
        <v>1</v>
      </c>
      <c r="C136" s="39" t="s">
        <v>135</v>
      </c>
      <c r="D136" s="42">
        <f>TRUNC(12510.4523809524,-1)</f>
        <v>12510</v>
      </c>
      <c r="E136" s="63">
        <f t="shared" ref="E136:E145" si="5">TRUNC(+D136*3.3058,-1)</f>
        <v>41350</v>
      </c>
    </row>
    <row r="137" spans="1:6" x14ac:dyDescent="0.3">
      <c r="A137" s="2">
        <v>2</v>
      </c>
      <c r="C137" s="39" t="s">
        <v>103</v>
      </c>
      <c r="D137" s="44">
        <f>TRUNC(8808.12111801242,-1)</f>
        <v>8800</v>
      </c>
      <c r="E137" s="64">
        <f t="shared" si="5"/>
        <v>29090</v>
      </c>
      <c r="F137" s="2" t="s">
        <v>316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21310</v>
      </c>
      <c r="E146" s="40">
        <f>SUM(E136:E145)</f>
        <v>70440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320</v>
      </c>
    </row>
    <row r="149" spans="1:6" x14ac:dyDescent="0.3">
      <c r="A149" s="2">
        <v>1</v>
      </c>
      <c r="C149" s="39" t="s">
        <v>144</v>
      </c>
      <c r="D149" s="42">
        <f>TRUNC(4290.44658385093+1282.11697722567,-1)</f>
        <v>5570</v>
      </c>
      <c r="E149" s="63">
        <f>TRUNC(+D149*3.3058,-1)</f>
        <v>18410</v>
      </c>
      <c r="F149" s="2" t="s">
        <v>311</v>
      </c>
    </row>
    <row r="150" spans="1:6" x14ac:dyDescent="0.3">
      <c r="A150" s="2">
        <v>2</v>
      </c>
      <c r="C150" s="39" t="s">
        <v>145</v>
      </c>
      <c r="D150" s="44">
        <f>TRUNC(4616.25879917184,-1)</f>
        <v>4610</v>
      </c>
      <c r="E150" s="64">
        <f>TRUNC(+D150*3.3058,-1)</f>
        <v>15230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TRUNC(84.8326432022084+2216.06942719117+6.74285714285714+1398.35265700483+28.8262249827467,-1)</f>
        <v>3730</v>
      </c>
      <c r="E152" s="64">
        <f>TRUNC(+D152*3.3058,-1)</f>
        <v>12330</v>
      </c>
      <c r="F152" s="37" t="s">
        <v>312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13910</v>
      </c>
      <c r="E154" s="40">
        <f>SUM(E149:E153)</f>
        <v>45970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320</v>
      </c>
    </row>
    <row r="157" spans="1:6" x14ac:dyDescent="0.3">
      <c r="A157" s="2">
        <v>1</v>
      </c>
      <c r="C157" s="39" t="s">
        <v>148</v>
      </c>
      <c r="D157" s="42">
        <f>TRUNC(9449.52781228433,-1)</f>
        <v>9440</v>
      </c>
      <c r="E157" s="63">
        <f>TRUNC(+D157*3.3058,-1)</f>
        <v>31200</v>
      </c>
    </row>
    <row r="158" spans="1:6" x14ac:dyDescent="0.3">
      <c r="A158" s="2">
        <v>2</v>
      </c>
      <c r="C158" s="39" t="s">
        <v>149</v>
      </c>
      <c r="D158" s="44">
        <f>TRUNC(9139.60910973085,-1)</f>
        <v>9130</v>
      </c>
      <c r="E158" s="64">
        <f>TRUNC(+D158*3.3058,-1)</f>
        <v>30180</v>
      </c>
    </row>
    <row r="159" spans="1:6" x14ac:dyDescent="0.3">
      <c r="A159" s="2">
        <v>3</v>
      </c>
      <c r="C159" s="39" t="s">
        <v>103</v>
      </c>
      <c r="D159" s="44">
        <f>TRUNC(10337.7636300897+35.5370600414079,-1)</f>
        <v>10370</v>
      </c>
      <c r="E159" s="64">
        <f>TRUNC(+D159*3.3058,-1)</f>
        <v>34280</v>
      </c>
      <c r="F159" s="2" t="s">
        <v>313</v>
      </c>
    </row>
    <row r="160" spans="1:6" ht="17.25" thickBot="1" x14ac:dyDescent="0.35">
      <c r="A160" s="2">
        <v>4</v>
      </c>
      <c r="C160" s="39" t="s">
        <v>102</v>
      </c>
      <c r="D160" s="45">
        <f>TRUNC(105555.486542443,-1)</f>
        <v>105550</v>
      </c>
      <c r="E160" s="65">
        <f>TRUNC(+D160*3.3058,-1)</f>
        <v>348920</v>
      </c>
    </row>
    <row r="161" spans="1:5" x14ac:dyDescent="0.3">
      <c r="A161" s="2">
        <v>5</v>
      </c>
      <c r="C161" s="27" t="s">
        <v>104</v>
      </c>
      <c r="D161" s="40">
        <f>SUM(D157:D160)</f>
        <v>134490</v>
      </c>
      <c r="E161" s="40">
        <f>SUM(E157:E160)</f>
        <v>444580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2020-12-07T09:23:51Z</dcterms:modified>
</cp:coreProperties>
</file>