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61" i="4" l="1"/>
  <c r="E146" i="4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161" i="4" l="1"/>
  <c r="D154" i="4"/>
  <c r="D31" i="4" s="1"/>
  <c r="D146" i="4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31" i="4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<sst xmlns="http://schemas.openxmlformats.org/spreadsheetml/2006/main" count="384" uniqueCount="259">
  <si>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</si>
  <si>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</si>
  <si>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</si>
  <si>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</si>
  <si>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</si>
  <si>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</si>
  <si>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</si>
  <si>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</si>
  <si>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</si>
  <si>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</si>
  <si>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</si>
  <si>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</si>
  <si>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</si>
  <si>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</si>
  <si>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</si>
  <si>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</si>
  <si>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</si>
  <si>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</si>
  <si>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</si>
  <si>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</si>
  <si>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</si>
  <si>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</si>
  <si>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</si>
  <si>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</si>
  <si>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</si>
  <si>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</si>
  <si>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</si>
  <si>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</si>
  <si>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</si>
  <si>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</si>
  <si>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</si>
  <si>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</si>
  <si>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</si>
  <si>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</si>
  <si>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</si>
  <si>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</si>
  <si>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</si>
  <si>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</si>
  <si>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</si>
  <si>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</si>
  <si>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</si>
  <si>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</si>
  <si>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</si>
  <si>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</si>
  <si>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</si>
  <si>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</si>
  <si>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</si>
  <si>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</si>
  <si>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</si>
  <si>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</si>
  <si>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</si>
  <si>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</si>
  <si>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</si>
  <si>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</si>
  <si>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</si>
  <si>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</si>
  <si>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</si>
  <si>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</si>
  <si>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</si>
  <si>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</si>
  <si>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</si>
  <si>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</si>
  <si>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</si>
  <si>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</si>
  <si>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</si>
  <si>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</si>
  <si>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</si>
  <si>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</si>
  <si>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</si>
  <si>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</si>
  <si>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</si>
  <si>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</si>
  <si>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</si>
  <si>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</si>
  <si>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</si>
  <si>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</si>
  <si>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</si>
  <si>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</si>
  <si>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</si>
  <si>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</si>
  <si>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</si>
  <si>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</si>
  <si>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</si>
  <si>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</si>
  <si>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</si>
  <si>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</si>
  <si>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</si>
  <si>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</si>
  <si>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</si>
  <si>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</si>
  <si>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</si>
  <si>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</si>
  <si>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</si>
  <si>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</si>
  <si>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</si>
  <si>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</si>
  <si>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</si>
  <si>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</si>
  <si>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</si>
  <si>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</si>
  <si>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</si>
  <si>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</si>
  <si>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</si>
  <si>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</si>
  <si>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</si>
  <si>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</si>
  <si>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</si>
  <si>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</si>
  <si>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</si>
  <si>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</si>
  <si>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</si>
  <si>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</si>
  <si>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</si>
  <si>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</si>
  <si>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</si>
  <si>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</si>
  <si>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</si>
  <si>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</si>
  <si>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</si>
  <si>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</si>
  <si>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</si>
  <si>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</si>
  <si>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</si>
  <si>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</si>
  <si>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</si>
  <si>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</si>
  <si>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</si>
  <si>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</si>
  <si>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</si>
  <si>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</si>
  <si>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</si>
  <si>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</si>
  <si>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</si>
  <si>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</si>
  <si>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</si>
  <si>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</si>
  <si>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</si>
  <si>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</si>
  <si>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</si>
  <si>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</si>
  <si>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</si>
  <si>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</si>
  <si>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</si>
  <si>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</si>
  <si>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</si>
  <si>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</si>
  <si>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</si>
  <si>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</si>
  <si>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</si>
  <si>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</si>
  <si>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</si>
  <si>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</si>
  <si>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</si>
  <si>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</si>
  <si>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</si>
  <si>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</si>
  <si>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</si>
  <si>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</si>
  <si>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</si>
  <si>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</si>
  <si>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</si>
  <si>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</si>
  <si>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</si>
  <si>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</si>
  <si>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</si>
  <si>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</si>
  <si>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</si>
  <si>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</si>
  <si>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</si>
  <si>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</si>
  <si>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</si>
  <si>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</si>
  <si>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</si>
  <si>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</si>
  <si>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</si>
  <si>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</si>
  <si>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</si>
  <si>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</si>
  <si>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</si>
  <si>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</si>
  <si>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</si>
  <si>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</si>
  <si>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</si>
  <si>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</si>
  <si>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</si>
  <si>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</si>
  <si>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</si>
  <si>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</si>
  <si>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</si>
  <si>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</si>
  <si>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</si>
  <si>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</si>
  <si>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</si>
  <si>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</si>
  <si>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</si>
  <si>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</si>
  <si>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</si>
  <si>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</si>
  <si>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</si>
  <si>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</si>
  <si>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</si>
  <si>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</si>
  <si>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</si>
  <si>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</si>
  <si>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</si>
  <si>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</si>
  <si>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</si>
  <si>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</si>
  <si>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</si>
  <si>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</si>
  <si>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</si>
  <si>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</si>
  <si>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</si>
  <si>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</si>
  <si>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</si>
  <si>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</si>
  <si>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</si>
  <si>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</si>
  <si>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</si>
  <si>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</si>
  <si>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</si>
  <si>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</si>
  <si>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</si>
  <si>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</si>
  <si>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</si>
  <si>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</si>
  <si>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</si>
  <si>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</si>
  <si>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</si>
  <si>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</si>
  <si>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</si>
  <si>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</si>
  <si>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</si>
  <si>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</si>
  <si>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</si>
  <si>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</si>
  <si>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</si>
  <si>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</si>
  <si>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</si>
  <si>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</si>
  <si>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</si>
  <si>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</si>
  <si>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</si>
  <si>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</si>
  <si>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</si>
  <si>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</si>
  <si>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</si>
  <si>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</si>
  <si>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 아산고속중학교 교사 신축공사</t>
  </si>
  <si>
    <t>충청도</t>
  </si>
  <si>
    <t>기타공사,골재대 및 운반비</t>
  </si>
  <si>
    <t>토공사 및 지정공사</t>
  </si>
  <si>
    <t>작업부산물,부대시설공사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</si>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</sst>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12992</v>
      </c>
      <c r="D7" s="36">
        <f>+C7/3.3058</f>
        <v>3930.0623147195838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728850</v>
      </c>
      <c r="E25" s="59">
        <f t="shared" si="0"/>
        <v>2409430</v>
      </c>
    </row>
    <row r="26" spans="1:5" x14ac:dyDescent="0.3">
      <c r="B26" s="2">
        <v>3</v>
      </c>
      <c r="C26" s="35" t="s">
        <v>95</v>
      </c>
      <c r="D26" s="45">
        <f>+D66</f>
        <v>36540</v>
      </c>
      <c r="E26" s="59">
        <f t="shared" si="0"/>
        <v>120790</v>
      </c>
    </row>
    <row r="27" spans="1:5" x14ac:dyDescent="0.3">
      <c r="B27" s="2">
        <v>4</v>
      </c>
      <c r="C27" s="35" t="s">
        <v>96</v>
      </c>
      <c r="D27" s="45">
        <f>+D95</f>
        <v>100140</v>
      </c>
      <c r="E27" s="59">
        <f t="shared" si="0"/>
        <v>331040</v>
      </c>
    </row>
    <row r="28" spans="1:5" x14ac:dyDescent="0.3">
      <c r="B28" s="2">
        <v>5</v>
      </c>
      <c r="C28" s="35" t="s">
        <v>97</v>
      </c>
      <c r="D28" s="45">
        <f>+D119</f>
        <v>132530</v>
      </c>
      <c r="E28" s="59">
        <f t="shared" si="0"/>
        <v>438110</v>
      </c>
    </row>
    <row r="29" spans="1:5" x14ac:dyDescent="0.3">
      <c r="B29" s="2">
        <v>6</v>
      </c>
      <c r="C29" s="35" t="s">
        <v>98</v>
      </c>
      <c r="D29" s="45">
        <f>+D133</f>
        <v>40450</v>
      </c>
      <c r="E29" s="59">
        <f t="shared" si="0"/>
        <v>133710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57440</v>
      </c>
      <c r="E31" s="59">
        <f t="shared" si="0"/>
        <v>189880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301380</v>
      </c>
      <c r="E33" s="60">
        <f t="shared" si="0"/>
        <v>996300</v>
      </c>
    </row>
    <row r="34" spans="1:7" x14ac:dyDescent="0.3">
      <c r="C34" s="35" t="s">
        <v>112</v>
      </c>
      <c r="D34" s="44">
        <f>SUM(D24:D33)</f>
        <v>1397330</v>
      </c>
      <c r="E34" s="44">
        <f>SUM(E24:E33)</f>
        <v>4619260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TRUNC(30082,-1)</f>
        <v>30080</v>
      </c>
      <c r="E40" s="62">
        <f t="shared" ref="E40:E59" si="1">TRUNC(+D40*3.3058,-1)</f>
        <v>99430</v>
      </c>
    </row>
    <row r="41" spans="1:7" x14ac:dyDescent="0.3">
      <c r="A41" s="2">
        <v>2</v>
      </c>
      <c r="C41" s="38" t="s">
        <v>13</v>
      </c>
      <c r="D41" s="42">
        <f>TRUNC(167499,-1)</f>
        <v>167490</v>
      </c>
      <c r="E41" s="63">
        <f t="shared" si="1"/>
        <v>553680</v>
      </c>
    </row>
    <row r="42" spans="1:7" x14ac:dyDescent="0.3">
      <c r="A42" s="2">
        <v>3</v>
      </c>
      <c r="C42" s="38" t="s">
        <v>14</v>
      </c>
      <c r="D42" s="42">
        <f>TRUNC(12265,-1)</f>
        <v>12260</v>
      </c>
      <c r="E42" s="63">
        <f t="shared" si="1"/>
        <v>40520</v>
      </c>
    </row>
    <row r="43" spans="1:7" x14ac:dyDescent="0.3">
      <c r="A43" s="2">
        <v>4</v>
      </c>
      <c r="C43" s="38" t="s">
        <v>16</v>
      </c>
      <c r="D43" s="42">
        <f>TRUNC(26289,-1)</f>
        <v>26280</v>
      </c>
      <c r="E43" s="63">
        <f t="shared" si="1"/>
        <v>86870</v>
      </c>
    </row>
    <row r="44" spans="1:7" x14ac:dyDescent="0.3">
      <c r="A44" s="2">
        <v>5</v>
      </c>
      <c r="C44" s="38" t="s">
        <v>17</v>
      </c>
      <c r="D44" s="42">
        <f>TRUNC(15955,-1)</f>
        <v>15950</v>
      </c>
      <c r="E44" s="63">
        <f t="shared" si="1"/>
        <v>52720</v>
      </c>
    </row>
    <row r="45" spans="1:7" x14ac:dyDescent="0.3">
      <c r="A45" s="2">
        <v>6</v>
      </c>
      <c r="C45" s="38" t="s">
        <v>18</v>
      </c>
      <c r="D45" s="42">
        <f>TRUNC(10181,-1)</f>
        <v>10180</v>
      </c>
      <c r="E45" s="63">
        <f t="shared" si="1"/>
        <v>33650</v>
      </c>
    </row>
    <row r="46" spans="1:7" x14ac:dyDescent="0.3">
      <c r="A46" s="2">
        <v>7</v>
      </c>
      <c r="C46" s="38" t="s">
        <v>19</v>
      </c>
      <c r="D46" s="42">
        <f>TRUNC(29601,-1)</f>
        <v>29600</v>
      </c>
      <c r="E46" s="63">
        <f t="shared" si="1"/>
        <v>97850</v>
      </c>
    </row>
    <row r="47" spans="1:7" x14ac:dyDescent="0.3">
      <c r="A47" s="2">
        <v>8</v>
      </c>
      <c r="C47" s="38" t="s">
        <v>20</v>
      </c>
      <c r="D47" s="42">
        <f>TRUNC(28106,-1)</f>
        <v>28100</v>
      </c>
      <c r="E47" s="63">
        <f t="shared" si="1"/>
        <v>92890</v>
      </c>
    </row>
    <row r="48" spans="1:7" x14ac:dyDescent="0.3">
      <c r="A48" s="2">
        <v>9</v>
      </c>
      <c r="C48" s="38" t="s">
        <v>21</v>
      </c>
      <c r="D48" s="42">
        <f>TRUNC(57429,-1)</f>
        <v>57420</v>
      </c>
      <c r="E48" s="63">
        <f t="shared" si="1"/>
        <v>189810</v>
      </c>
    </row>
    <row r="49" spans="1:7" x14ac:dyDescent="0.3">
      <c r="A49" s="2">
        <v>10</v>
      </c>
      <c r="C49" s="38" t="s">
        <v>22</v>
      </c>
      <c r="D49" s="42">
        <f>TRUNC(15311,-1)</f>
        <v>15310</v>
      </c>
      <c r="E49" s="63">
        <f t="shared" si="1"/>
        <v>50610</v>
      </c>
    </row>
    <row r="50" spans="1:7" x14ac:dyDescent="0.3">
      <c r="A50" s="2">
        <v>11</v>
      </c>
      <c r="C50" s="38" t="s">
        <v>154</v>
      </c>
      <c r="D50" s="42">
        <f>TRUNC(73762,-1)</f>
        <v>73760</v>
      </c>
      <c r="E50" s="63">
        <f t="shared" si="1"/>
        <v>243830</v>
      </c>
    </row>
    <row r="51" spans="1:7" x14ac:dyDescent="0.3">
      <c r="A51" s="2">
        <v>12</v>
      </c>
      <c r="C51" s="38" t="s">
        <v>23</v>
      </c>
      <c r="D51" s="42">
        <f>TRUNC(14401,-1)</f>
        <v>14400</v>
      </c>
      <c r="E51" s="63">
        <f t="shared" si="1"/>
        <v>47600</v>
      </c>
    </row>
    <row r="52" spans="1:7" x14ac:dyDescent="0.3">
      <c r="A52" s="2">
        <v>13</v>
      </c>
      <c r="C52" s="38" t="s">
        <v>24</v>
      </c>
      <c r="D52" s="42">
        <f>TRUNC(9972,-1)</f>
        <v>9970</v>
      </c>
      <c r="E52" s="63">
        <f t="shared" si="1"/>
        <v>32950</v>
      </c>
    </row>
    <row r="53" spans="1:7" x14ac:dyDescent="0.3">
      <c r="A53" s="2">
        <v>14</v>
      </c>
      <c r="C53" s="38" t="s">
        <v>25</v>
      </c>
      <c r="D53" s="42">
        <f>TRUNC(51668,-1)</f>
        <v>51660</v>
      </c>
      <c r="E53" s="63">
        <f t="shared" si="1"/>
        <v>170770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TRUNC(11045,-1)</f>
        <v>11040</v>
      </c>
      <c r="E55" s="63">
        <f t="shared" si="1"/>
        <v>36490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TRUNC(18315+3314,-1)</f>
        <v>21620</v>
      </c>
      <c r="E58" s="63">
        <f t="shared" si="1"/>
        <v>71470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TRUNC(153731.065270936,-1)</f>
        <v>153730</v>
      </c>
      <c r="E59" s="64">
        <f t="shared" si="1"/>
        <v>508200</v>
      </c>
    </row>
    <row r="60" spans="1:7" x14ac:dyDescent="0.3">
      <c r="A60" s="2">
        <v>21</v>
      </c>
      <c r="C60" s="27" t="s">
        <v>112</v>
      </c>
      <c r="D60" s="39">
        <f>SUM(D40:D59)</f>
        <v>728850</v>
      </c>
      <c r="E60" s="39">
        <f>SUM(E40:E59)</f>
        <v>2409340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253</v>
      </c>
      <c r="G62" s="55"/>
    </row>
    <row r="63" spans="1:7" x14ac:dyDescent="0.3">
      <c r="A63" s="2">
        <v>1</v>
      </c>
      <c r="C63" s="38" t="s">
        <v>27</v>
      </c>
      <c r="D63" s="40">
        <f>TRUNC(36547,-1)</f>
        <v>36540</v>
      </c>
      <c r="E63" s="62">
        <f>TRUNC(+D63*3.3058,-1)</f>
        <v>120790</v>
      </c>
      <c r="F63" s="2" t="s">
        <v>251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36540</v>
      </c>
      <c r="E66" s="65">
        <f>SUM(E63:E65)</f>
        <v>120790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TRUNC(26303.8793103448,-1)</f>
        <v>26300</v>
      </c>
      <c r="E93" s="63">
        <f t="shared" si="2"/>
        <v>86940</v>
      </c>
    </row>
    <row r="94" spans="1:7" ht="17.25" thickBot="1" x14ac:dyDescent="0.35">
      <c r="A94" s="2">
        <v>26</v>
      </c>
      <c r="C94" s="38" t="s">
        <v>47</v>
      </c>
      <c r="D94" s="43">
        <f>TRUNC(73845,-1)</f>
        <v>73840</v>
      </c>
      <c r="E94" s="64">
        <f t="shared" si="2"/>
        <v>244100</v>
      </c>
    </row>
    <row r="95" spans="1:7" x14ac:dyDescent="0.3">
      <c r="A95" s="2">
        <v>27</v>
      </c>
      <c r="C95" s="27" t="s">
        <v>112</v>
      </c>
      <c r="D95" s="39">
        <f>SUM(D69:D94)</f>
        <v>100140</v>
      </c>
      <c r="E95" s="39">
        <f>SUM(E69:E94)</f>
        <v>331040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TRUNC(42031.7887931034,-1)</f>
        <v>42030</v>
      </c>
      <c r="E117" s="63">
        <f t="shared" si="3"/>
        <v>138940</v>
      </c>
    </row>
    <row r="118" spans="1:7" ht="17.25" thickBot="1" x14ac:dyDescent="0.35">
      <c r="A118" s="2">
        <v>21</v>
      </c>
      <c r="C118" s="38" t="s">
        <v>47</v>
      </c>
      <c r="D118" s="43">
        <f>TRUNC(90509,-1)</f>
        <v>90500</v>
      </c>
      <c r="E118" s="64">
        <f t="shared" si="3"/>
        <v>299170</v>
      </c>
    </row>
    <row r="119" spans="1:7" x14ac:dyDescent="0.3">
      <c r="A119" s="2">
        <v>22</v>
      </c>
      <c r="C119" s="27" t="s">
        <v>112</v>
      </c>
      <c r="D119" s="39">
        <f>SUM(D98:D118)</f>
        <v>132530</v>
      </c>
      <c r="E119" s="39">
        <f>SUM(E98:E118)</f>
        <v>438110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TRUNC(9201.97044334975,-1)</f>
        <v>9200</v>
      </c>
      <c r="E131" s="63">
        <f t="shared" si="4"/>
        <v>30410</v>
      </c>
    </row>
    <row r="132" spans="1:7" ht="18" thickBot="1" x14ac:dyDescent="0.35">
      <c r="A132" s="2">
        <v>11</v>
      </c>
      <c r="C132" s="38" t="s">
        <v>47</v>
      </c>
      <c r="D132" s="43">
        <f>TRUNC(31251,-1)</f>
        <v>31250</v>
      </c>
      <c r="E132" s="64">
        <f t="shared" si="4"/>
        <v>103300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40450</v>
      </c>
      <c r="E133" s="39">
        <f>SUM(E122:E132)</f>
        <v>133710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TRUNC(-795+56178,-1)</f>
        <v>55380</v>
      </c>
      <c r="E152" s="63">
        <f>TRUNC(+D152*3.3058,-1)</f>
        <v>183070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TRUNC(2067.96490147783,-1)</f>
        <v>2060</v>
      </c>
      <c r="E153" s="64">
        <f>TRUNC(+D153*3.3058,-1)</f>
        <v>6800</v>
      </c>
    </row>
    <row r="154" spans="1:7" x14ac:dyDescent="0.3">
      <c r="A154" s="2">
        <v>6</v>
      </c>
      <c r="C154" s="27" t="s">
        <v>112</v>
      </c>
      <c r="D154" s="39">
        <f>SUM(D149:D153)</f>
        <v>57440</v>
      </c>
      <c r="E154" s="39">
        <f>SUM(E149:E153)</f>
        <v>189870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2020-12-07T09:26:50Z</dcterms:modified>
</cp:coreProperties>
</file>