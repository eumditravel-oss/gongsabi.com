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66" i="4"/>
  <c r="E161" i="4"/>
  <c r="E119" i="4"/>
  <c r="E95" i="4"/>
  <c r="E154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31" i="4"/>
  <c r="E31" i="4" s="1"/>
  <c r="D26" i="4"/>
  <c r="E26" i="4" s="1"/>
  <c r="D24" i="4"/>
  <c r="E24" i="4" s="1"/>
  <c r="D7" i="4"/>
  <c r="E34" i="4" l="1"/>
  <c r="D34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<sst xmlns="http://schemas.openxmlformats.org/spreadsheetml/2006/main" count="385" uniqueCount="261">
  <si>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</si>
  <si>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</si>
  <si>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</si>
  <si>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</si>
  <si>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</si>
  <si>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</si>
  <si>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</si>
  <si>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</si>
  <si>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</si>
  <si>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</si>
  <si>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</si>
  <si>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</si>
  <si>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</si>
  <si>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</si>
  <si>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</si>
  <si>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</si>
  <si>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</si>
  <si>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</si>
  <si>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</si>
  <si>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</si>
  <si>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</si>
  <si>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</si>
  <si>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</si>
  <si>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</si>
  <si>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</si>
  <si>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</si>
  <si>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</si>
  <si>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</si>
  <si>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</si>
  <si>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</si>
  <si>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</si>
  <si>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</si>
  <si>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</si>
  <si>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</si>
  <si>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</si>
  <si>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</si>
  <si>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</si>
  <si>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</si>
  <si>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</si>
  <si>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</si>
  <si>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</si>
  <si>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</si>
  <si>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</si>
  <si>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</si>
  <si>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</si>
  <si>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</si>
  <si>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</si>
  <si>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</si>
  <si>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</si>
  <si>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</si>
  <si>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</si>
  <si>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</si>
  <si>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</si>
  <si>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</si>
  <si>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</si>
  <si>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</si>
  <si>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</si>
  <si>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</si>
  <si>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</si>
  <si>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</si>
  <si>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</si>
  <si>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</si>
  <si>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</si>
  <si>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</si>
  <si>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</si>
  <si>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</si>
  <si>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</si>
  <si>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</si>
  <si>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</si>
  <si>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</si>
  <si>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</si>
  <si>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</si>
  <si>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</si>
  <si>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</si>
  <si>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</si>
  <si>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</si>
  <si>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</si>
  <si>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</si>
  <si>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</si>
  <si>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</si>
  <si>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</si>
  <si>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</si>
  <si>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</si>
  <si>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</si>
  <si>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</si>
  <si>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</si>
  <si>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</si>
  <si>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</si>
  <si>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</si>
  <si>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</si>
  <si>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</si>
  <si>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</si>
  <si>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</si>
  <si>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</si>
  <si>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</si>
  <si>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</si>
  <si>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</si>
  <si>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</si>
  <si>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</si>
  <si>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</si>
  <si>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</si>
  <si>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</si>
  <si>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</si>
  <si>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</si>
  <si>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</si>
  <si>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</si>
  <si>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</si>
  <si>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</si>
  <si>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</si>
  <si>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</si>
  <si>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</si>
  <si>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</si>
  <si>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</si>
  <si>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</si>
  <si>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</si>
  <si>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</si>
  <si>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</si>
  <si>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</si>
  <si>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</si>
  <si>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</si>
  <si>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</si>
  <si>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</si>
  <si>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</si>
  <si>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</si>
  <si>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</si>
  <si>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</si>
  <si>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</si>
  <si>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</si>
  <si>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</si>
  <si>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</si>
  <si>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</si>
  <si>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</si>
  <si>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</si>
  <si>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</si>
  <si>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</si>
  <si>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</si>
  <si>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</si>
  <si>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</si>
  <si>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</si>
  <si>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</si>
  <si>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</si>
  <si>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</si>
  <si>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</si>
  <si>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</si>
  <si>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</si>
  <si>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</si>
  <si>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</si>
  <si>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</si>
  <si>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</si>
  <si>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</si>
  <si>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</si>
  <si>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</si>
  <si>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</si>
  <si>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</si>
  <si>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</si>
  <si>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</si>
  <si>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</si>
  <si>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</si>
  <si>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</si>
  <si>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</si>
  <si>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</si>
  <si>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</si>
  <si>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</si>
  <si>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</si>
  <si>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</si>
  <si>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</si>
  <si>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</si>
  <si>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</si>
  <si>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</si>
  <si>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</si>
  <si>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</si>
  <si>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</si>
  <si>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</si>
  <si>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</si>
  <si>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</si>
  <si>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</si>
  <si>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</si>
  <si>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</si>
  <si>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</si>
  <si>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</si>
  <si>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</si>
  <si>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</si>
  <si>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</si>
  <si>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</si>
  <si>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</si>
  <si>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</si>
  <si>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</si>
  <si>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</si>
  <si>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</si>
  <si>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</si>
  <si>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</si>
  <si>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</si>
  <si>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</si>
  <si>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</si>
  <si>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</si>
  <si>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</si>
  <si>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</si>
  <si>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</si>
  <si>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</si>
  <si>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</si>
  <si>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</si>
  <si>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</si>
  <si>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</si>
  <si>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</si>
  <si>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</si>
  <si>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</si>
  <si>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</si>
  <si>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</si>
  <si>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</si>
  <si>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</si>
  <si>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</si>
  <si>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</si>
  <si>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</si>
  <si>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</si>
  <si>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</si>
  <si>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</si>
  <si>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</si>
  <si>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</si>
  <si>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</si>
  <si>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</si>
  <si>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</si>
  <si>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</si>
  <si>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</si>
  <si>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</si>
  <si>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</si>
  <si>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</si>
  <si>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</si>
  <si>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</si>
  <si>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</si>
  <si>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</si>
  <si>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</si>
  <si>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</si>
  <si>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</si>
  <si>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</si>
  <si>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</si>
  <si>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</si>
  <si>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</si>
  <si>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</si>
  <si>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</si>
  <si>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</si>
  <si>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</si>
  <si>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</si>
  <si>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</si>
  <si>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</si>
  <si>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</si>
  <si>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</si>
  <si>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</si>
  <si>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경상도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</si>
  <si>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</si>
  <si>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</si>
  <si>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</si>
  <si>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</si>
  <si>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기타설비</t>
  </si>
  <si>
    <t>전기소방</t>
    <phoneticPr fontId="2" type="noConversion"/>
  </si>
  <si>
    <t>경상남도 밀양시 00대학교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</si>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</sst>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41" fontId="4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2" sqref="G12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5045</v>
      </c>
      <c r="D7" s="36">
        <f>+C7/3.3058</f>
        <v>1526.1056325246536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485150</v>
      </c>
      <c r="E25" s="60">
        <f t="shared" si="0"/>
        <v>1603800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78730</v>
      </c>
      <c r="E27" s="60">
        <f t="shared" si="0"/>
        <v>260260</v>
      </c>
    </row>
    <row r="28" spans="1:5" x14ac:dyDescent="0.3">
      <c r="B28" s="2">
        <v>5</v>
      </c>
      <c r="C28" s="35" t="s">
        <v>97</v>
      </c>
      <c r="D28" s="45">
        <f>+D119</f>
        <v>70950</v>
      </c>
      <c r="E28" s="60">
        <f t="shared" si="0"/>
        <v>234540</v>
      </c>
    </row>
    <row r="29" spans="1:5" x14ac:dyDescent="0.3">
      <c r="B29" s="2">
        <v>6</v>
      </c>
      <c r="C29" s="35" t="s">
        <v>98</v>
      </c>
      <c r="D29" s="45">
        <f>+D133</f>
        <v>41260</v>
      </c>
      <c r="E29" s="60">
        <f t="shared" si="0"/>
        <v>136390</v>
      </c>
    </row>
    <row r="30" spans="1:5" x14ac:dyDescent="0.3">
      <c r="B30" s="2">
        <v>7</v>
      </c>
      <c r="C30" s="35" t="s">
        <v>99</v>
      </c>
      <c r="D30" s="45">
        <f>+D146</f>
        <v>10430</v>
      </c>
      <c r="E30" s="60">
        <f t="shared" si="0"/>
        <v>34470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60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v>211480</v>
      </c>
      <c r="E33" s="61">
        <f t="shared" si="0"/>
        <v>699110</v>
      </c>
    </row>
    <row r="34" spans="1:7" x14ac:dyDescent="0.3">
      <c r="C34" s="35" t="s">
        <v>112</v>
      </c>
      <c r="D34" s="44">
        <f>SUM(D24:D33)</f>
        <v>898000</v>
      </c>
      <c r="E34" s="44">
        <f>SUM(E24:E33)</f>
        <v>2968570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256</v>
      </c>
      <c r="E39" s="67" t="s">
        <v>257</v>
      </c>
      <c r="G39" s="68"/>
    </row>
    <row r="40" spans="1:7" x14ac:dyDescent="0.3">
      <c r="A40" s="2">
        <v>1</v>
      </c>
      <c r="C40" s="38" t="s">
        <v>15</v>
      </c>
      <c r="D40" s="40">
        <v>40540</v>
      </c>
      <c r="E40" s="63">
        <f t="shared" ref="E40:E59" si="1">TRUNC(+D40*3.3058,-1)</f>
        <v>134010</v>
      </c>
    </row>
    <row r="41" spans="1:7" x14ac:dyDescent="0.3">
      <c r="A41" s="2">
        <v>2</v>
      </c>
      <c r="C41" s="38" t="s">
        <v>13</v>
      </c>
      <c r="D41" s="42">
        <v>144830</v>
      </c>
      <c r="E41" s="64">
        <f t="shared" si="1"/>
        <v>478770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4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4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4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4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4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4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4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4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4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v>299780</v>
      </c>
      <c r="E58" s="64">
        <f t="shared" si="1"/>
        <v>991010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5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485150</v>
      </c>
      <c r="E60" s="39">
        <f>SUM(E40:E59)</f>
        <v>1603790</v>
      </c>
    </row>
    <row r="61" spans="1:7" s="55" customFormat="1" x14ac:dyDescent="0.3">
      <c r="C61" s="56"/>
      <c r="D61" s="58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8" t="s">
        <v>235</v>
      </c>
      <c r="E62" s="56" t="s">
        <v>255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8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8" t="s">
        <v>235</v>
      </c>
      <c r="E68" s="56" t="s">
        <v>255</v>
      </c>
      <c r="F68" s="54"/>
      <c r="G68" s="54"/>
    </row>
    <row r="69" spans="1:7" x14ac:dyDescent="0.3">
      <c r="A69" s="2">
        <v>1</v>
      </c>
      <c r="C69" s="38" t="s">
        <v>30</v>
      </c>
      <c r="D69" s="40">
        <v>2240</v>
      </c>
      <c r="E69" s="63">
        <f>TRUNC(+D69*3.3058,-1)</f>
        <v>7400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4480</v>
      </c>
      <c r="E84" s="64">
        <f>TRUNC(+D84*3.3058,-1)</f>
        <v>14800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 x14ac:dyDescent="0.3">
      <c r="A91" s="2">
        <v>23</v>
      </c>
      <c r="C91" s="38" t="s">
        <v>37</v>
      </c>
      <c r="D91" s="42">
        <v>8340</v>
      </c>
      <c r="E91" s="64">
        <f>TRUNC(+D91*3.3058,-1)</f>
        <v>27570</v>
      </c>
    </row>
    <row r="92" spans="1:7" x14ac:dyDescent="0.3">
      <c r="A92" s="2">
        <v>24</v>
      </c>
      <c r="C92" s="38" t="s">
        <v>38</v>
      </c>
      <c r="D92" s="42">
        <v>15500</v>
      </c>
      <c r="E92" s="64">
        <f>TRUNC(+D92*3.3058,-1)</f>
        <v>51230</v>
      </c>
    </row>
    <row r="93" spans="1:7" x14ac:dyDescent="0.3">
      <c r="A93" s="2">
        <v>25</v>
      </c>
      <c r="C93" s="38" t="s">
        <v>148</v>
      </c>
      <c r="D93" s="42">
        <v>48170</v>
      </c>
      <c r="E93" s="64">
        <f>TRUNC(+D93*3.3058,-1)</f>
        <v>159240</v>
      </c>
    </row>
    <row r="94" spans="1:7" ht="17.25" thickBot="1" x14ac:dyDescent="0.35">
      <c r="A94" s="2">
        <v>26</v>
      </c>
      <c r="C94" s="38" t="s">
        <v>47</v>
      </c>
      <c r="D94" s="43"/>
      <c r="E94" s="65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78730</v>
      </c>
      <c r="E95" s="39">
        <f>SUM(E69:E94)</f>
        <v>260240</v>
      </c>
    </row>
    <row r="96" spans="1:7" s="55" customFormat="1" x14ac:dyDescent="0.3">
      <c r="C96" s="56"/>
      <c r="D96" s="58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8" t="s">
        <v>235</v>
      </c>
      <c r="E97" s="56" t="s">
        <v>255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4"/>
        <v>0</v>
      </c>
    </row>
    <row r="100" spans="1:7" x14ac:dyDescent="0.3">
      <c r="A100" s="2">
        <v>3</v>
      </c>
      <c r="C100" s="38" t="s">
        <v>41</v>
      </c>
      <c r="D100" s="42">
        <v>19800</v>
      </c>
      <c r="E100" s="64">
        <f t="shared" si="4"/>
        <v>65450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4"/>
        <v>0</v>
      </c>
    </row>
    <row r="116" spans="1:7" x14ac:dyDescent="0.3">
      <c r="A116" s="2">
        <v>19</v>
      </c>
      <c r="C116" s="38" t="s">
        <v>115</v>
      </c>
      <c r="D116" s="42">
        <v>24880</v>
      </c>
      <c r="E116" s="64">
        <f t="shared" si="4"/>
        <v>82240</v>
      </c>
    </row>
    <row r="117" spans="1:7" x14ac:dyDescent="0.3">
      <c r="A117" s="2">
        <v>20</v>
      </c>
      <c r="C117" s="38" t="s">
        <v>148</v>
      </c>
      <c r="D117" s="42">
        <v>24010</v>
      </c>
      <c r="E117" s="64">
        <f t="shared" si="4"/>
        <v>79370</v>
      </c>
    </row>
    <row r="118" spans="1:7" ht="17.25" thickBot="1" x14ac:dyDescent="0.35">
      <c r="A118" s="2">
        <v>21</v>
      </c>
      <c r="C118" s="38" t="s">
        <v>47</v>
      </c>
      <c r="D118" s="43">
        <v>2260</v>
      </c>
      <c r="E118" s="65">
        <f t="shared" si="4"/>
        <v>7470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70950</v>
      </c>
      <c r="E119" s="39">
        <f>SUM(E98:E118)</f>
        <v>234530</v>
      </c>
    </row>
    <row r="120" spans="1:7" s="55" customFormat="1" x14ac:dyDescent="0.3">
      <c r="C120" s="56"/>
      <c r="D120" s="58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8" t="s">
        <v>235</v>
      </c>
      <c r="E121" s="56" t="s">
        <v>255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6800</v>
      </c>
      <c r="E125" s="64">
        <f t="shared" si="5"/>
        <v>22470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23540</v>
      </c>
      <c r="E130" s="64">
        <f t="shared" si="5"/>
        <v>77810</v>
      </c>
    </row>
    <row r="131" spans="1:7" x14ac:dyDescent="0.3">
      <c r="A131" s="2">
        <v>10</v>
      </c>
      <c r="C131" s="38" t="s">
        <v>148</v>
      </c>
      <c r="D131" s="42">
        <v>10160</v>
      </c>
      <c r="E131" s="64">
        <f t="shared" si="5"/>
        <v>33580</v>
      </c>
    </row>
    <row r="132" spans="1:7" ht="17.25" thickBot="1" x14ac:dyDescent="0.35">
      <c r="A132" s="2">
        <v>11</v>
      </c>
      <c r="C132" s="38" t="s">
        <v>47</v>
      </c>
      <c r="D132" s="43">
        <v>760</v>
      </c>
      <c r="E132" s="65">
        <f t="shared" si="5"/>
        <v>2510</v>
      </c>
    </row>
    <row r="133" spans="1:7" x14ac:dyDescent="0.3">
      <c r="A133" s="2">
        <v>12</v>
      </c>
      <c r="C133" s="27" t="s">
        <v>112</v>
      </c>
      <c r="D133" s="39">
        <f>SUM(D122:D132)</f>
        <v>41260</v>
      </c>
      <c r="E133" s="39">
        <f>SUM(E122:E132)</f>
        <v>136370</v>
      </c>
    </row>
    <row r="134" spans="1:7" s="55" customFormat="1" x14ac:dyDescent="0.3">
      <c r="C134" s="56"/>
      <c r="D134" s="58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8" t="s">
        <v>235</v>
      </c>
      <c r="E135" s="56" t="s">
        <v>255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4680</v>
      </c>
      <c r="E136" s="63">
        <f t="shared" ref="E136:E145" si="6">TRUNC(+D136*3.3058,-1)</f>
        <v>15470</v>
      </c>
    </row>
    <row r="137" spans="1:7" x14ac:dyDescent="0.3">
      <c r="A137" s="2">
        <v>2</v>
      </c>
      <c r="C137" s="38" t="s">
        <v>47</v>
      </c>
      <c r="D137" s="42">
        <v>5750</v>
      </c>
      <c r="E137" s="64">
        <f t="shared" si="6"/>
        <v>19000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10430</v>
      </c>
      <c r="E146" s="39">
        <f>SUM(E136:E145)</f>
        <v>34470</v>
      </c>
    </row>
    <row r="147" spans="1:7" s="55" customFormat="1" x14ac:dyDescent="0.3">
      <c r="C147" s="56"/>
      <c r="D147" s="58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8" t="s">
        <v>235</v>
      </c>
      <c r="E148" s="56" t="s">
        <v>255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4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8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8" t="s">
        <v>235</v>
      </c>
      <c r="E156" s="56" t="s">
        <v>255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2020-12-07T08:51:07Z</dcterms:modified>
</cp:coreProperties>
</file>